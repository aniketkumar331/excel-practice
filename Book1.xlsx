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b20a94b0655f61/Desktop/DA/"/>
    </mc:Choice>
  </mc:AlternateContent>
  <xr:revisionPtr revIDLastSave="258" documentId="8_{AC59C6B3-6DFD-4097-842C-356009BEA948}" xr6:coauthVersionLast="47" xr6:coauthVersionMax="47" xr10:uidLastSave="{7FD7695A-70A0-495E-9E16-E3472BB22611}"/>
  <bookViews>
    <workbookView xWindow="-108" yWindow="-108" windowWidth="23256" windowHeight="12456" activeTab="1" xr2:uid="{270CB865-6B3F-4EC8-B2E7-ADF0BF481D98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Sheet2!$AA$23:$AC$29</definedName>
    <definedName name="ExternalData_1" localSheetId="1" hidden="1">Sheet2!$AG$13:$AI$19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3" i="2" l="1" a="1"/>
  <c r="AE23" i="2" s="1"/>
  <c r="X25" i="2"/>
  <c r="X26" i="2"/>
  <c r="X27" i="2"/>
  <c r="X28" i="2"/>
  <c r="X29" i="2"/>
  <c r="X30" i="2"/>
  <c r="X31" i="2"/>
  <c r="X32" i="2"/>
  <c r="X24" i="2"/>
  <c r="W25" i="2"/>
  <c r="W26" i="2"/>
  <c r="W27" i="2"/>
  <c r="W28" i="2"/>
  <c r="W29" i="2"/>
  <c r="W30" i="2"/>
  <c r="W31" i="2"/>
  <c r="W32" i="2"/>
  <c r="W24" i="2"/>
  <c r="V24" i="2"/>
  <c r="V25" i="2"/>
  <c r="V26" i="2"/>
  <c r="V27" i="2"/>
  <c r="V28" i="2"/>
  <c r="V29" i="2"/>
  <c r="V30" i="2"/>
  <c r="V31" i="2"/>
  <c r="V32" i="2"/>
  <c r="T30" i="2"/>
  <c r="T31" i="2"/>
  <c r="T32" i="2"/>
  <c r="T24" i="2"/>
  <c r="U30" i="2"/>
  <c r="U31" i="2"/>
  <c r="U32" i="2"/>
  <c r="S26" i="2"/>
  <c r="S30" i="2"/>
  <c r="S31" i="2"/>
  <c r="S32" i="2"/>
  <c r="R32" i="2"/>
  <c r="R31" i="2"/>
  <c r="R30" i="2"/>
  <c r="R29" i="2"/>
  <c r="S29" i="2" s="1"/>
  <c r="R28" i="2"/>
  <c r="S28" i="2" s="1"/>
  <c r="R27" i="2"/>
  <c r="U27" i="2" s="1"/>
  <c r="R26" i="2"/>
  <c r="U26" i="2" s="1"/>
  <c r="R25" i="2"/>
  <c r="T25" i="2" s="1"/>
  <c r="R24" i="2"/>
  <c r="S24" i="2" s="1"/>
  <c r="X19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I25" i="2"/>
  <c r="J25" i="2"/>
  <c r="K25" i="2"/>
  <c r="H25" i="2"/>
  <c r="E26" i="2"/>
  <c r="E27" i="2"/>
  <c r="E28" i="2"/>
  <c r="E29" i="2"/>
  <c r="E30" i="2"/>
  <c r="E31" i="2"/>
  <c r="E32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25" i="2"/>
  <c r="D25" i="2"/>
  <c r="E25" i="2"/>
  <c r="B25" i="2"/>
  <c r="J4" i="2"/>
  <c r="J6" i="2"/>
  <c r="O14" i="2"/>
  <c r="D15" i="2"/>
  <c r="D34" i="2" s="1"/>
  <c r="E15" i="2"/>
  <c r="G6" i="2" s="1"/>
  <c r="E6" i="2"/>
  <c r="F6" i="2" s="1"/>
  <c r="AB7" i="2"/>
  <c r="W8" i="2"/>
  <c r="W9" i="2"/>
  <c r="W10" i="2"/>
  <c r="W11" i="2"/>
  <c r="W12" i="2"/>
  <c r="W7" i="2"/>
  <c r="V13" i="2"/>
  <c r="X8" i="2" s="1"/>
  <c r="H4" i="3"/>
  <c r="Q10" i="2"/>
  <c r="Q11" i="2"/>
  <c r="Q12" i="2"/>
  <c r="Q13" i="2"/>
  <c r="Q9" i="2"/>
  <c r="H2" i="3"/>
  <c r="I18" i="2" a="1"/>
  <c r="I18" i="2" s="1"/>
  <c r="K15" i="2"/>
  <c r="K14" i="2"/>
  <c r="E7" i="2"/>
  <c r="F7" i="2" s="1"/>
  <c r="E8" i="2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I8" i="2"/>
  <c r="I7" i="2"/>
  <c r="N7" i="1"/>
  <c r="M10" i="1"/>
  <c r="L10" i="1"/>
  <c r="K10" i="1"/>
  <c r="J10" i="1"/>
  <c r="M9" i="1"/>
  <c r="L9" i="1"/>
  <c r="K9" i="1"/>
  <c r="J9" i="1"/>
  <c r="M8" i="1"/>
  <c r="L8" i="1"/>
  <c r="K8" i="1"/>
  <c r="J8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M3" i="1"/>
  <c r="L3" i="1"/>
  <c r="K3" i="1"/>
  <c r="J3" i="1"/>
  <c r="M2" i="1"/>
  <c r="L2" i="1"/>
  <c r="K2" i="1"/>
  <c r="J2" i="1"/>
  <c r="F10" i="1"/>
  <c r="D2" i="1"/>
  <c r="F12" i="1"/>
  <c r="G11" i="1"/>
  <c r="G12" i="1"/>
  <c r="G13" i="1"/>
  <c r="G14" i="1"/>
  <c r="G15" i="1"/>
  <c r="G16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1" i="1"/>
  <c r="G10" i="1"/>
  <c r="E2" i="1"/>
  <c r="F2" i="1"/>
  <c r="G2" i="1"/>
  <c r="G10" i="2" l="1"/>
  <c r="H10" i="2"/>
  <c r="G9" i="2"/>
  <c r="H9" i="2"/>
  <c r="G8" i="2"/>
  <c r="H8" i="2"/>
  <c r="H7" i="2"/>
  <c r="G7" i="2"/>
  <c r="G15" i="2"/>
  <c r="H6" i="2"/>
  <c r="G14" i="2"/>
  <c r="C34" i="2"/>
  <c r="H14" i="2"/>
  <c r="G13" i="2"/>
  <c r="B34" i="2"/>
  <c r="H13" i="2"/>
  <c r="G12" i="2"/>
  <c r="D33" i="2"/>
  <c r="E34" i="2"/>
  <c r="H12" i="2"/>
  <c r="F15" i="2"/>
  <c r="G11" i="2"/>
  <c r="C33" i="2"/>
  <c r="E33" i="2"/>
  <c r="K33" i="2"/>
  <c r="H11" i="2"/>
  <c r="H15" i="2"/>
  <c r="U24" i="2"/>
  <c r="U25" i="2"/>
  <c r="S25" i="2"/>
  <c r="S27" i="2"/>
  <c r="T29" i="2"/>
  <c r="T27" i="2"/>
  <c r="U29" i="2"/>
  <c r="T26" i="2"/>
  <c r="U28" i="2"/>
  <c r="T28" i="2"/>
  <c r="X7" i="2"/>
  <c r="X12" i="2"/>
  <c r="X11" i="2"/>
  <c r="X10" i="2"/>
  <c r="X9" i="2"/>
  <c r="I11" i="2"/>
  <c r="F8" i="2"/>
  <c r="I12" i="2"/>
  <c r="K9" i="2"/>
  <c r="H2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E2201F-4528-4E33-BF55-8590100737A6}" keepAlive="1" name="Query - Table12" description="Connection to the 'Table12' query in the workbook." type="5" refreshedVersion="8" background="1" saveData="1">
    <dbPr connection="Provider=Microsoft.Mashup.OleDb.1;Data Source=$Workbook$;Location=Table12;Extended Properties=&quot;&quot;" command="SELECT * FROM [Table1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<sst xmlns="http://schemas.openxmlformats.org/spreadsheetml/2006/main" count="273" uniqueCount="71">
  <si>
    <t xml:space="preserve">Name </t>
  </si>
  <si>
    <t>English</t>
  </si>
  <si>
    <t>Hindi</t>
  </si>
  <si>
    <t>math</t>
  </si>
  <si>
    <t>RAJA KA</t>
  </si>
  <si>
    <t>PARAS KA</t>
  </si>
  <si>
    <t>BALVEER KA</t>
  </si>
  <si>
    <t>AMIT</t>
  </si>
  <si>
    <t>HARSH</t>
  </si>
  <si>
    <t>MANJEET</t>
  </si>
  <si>
    <t>ROHIT</t>
  </si>
  <si>
    <t>MOHIT</t>
  </si>
  <si>
    <t>ASHU</t>
  </si>
  <si>
    <t>TOTAL</t>
  </si>
  <si>
    <t>Remark</t>
  </si>
  <si>
    <t>)</t>
  </si>
  <si>
    <t/>
  </si>
  <si>
    <t>"VIRAT"KOHLI"</t>
  </si>
  <si>
    <t>"SACHI</t>
  </si>
  <si>
    <t>OrderDate</t>
  </si>
  <si>
    <t>Region</t>
  </si>
  <si>
    <t>Rep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</si>
  <si>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</si>
  <si>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</si>
  <si>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</si>
  <si>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</si>
  <si>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</si>
  <si>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</si>
  <si>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</si>
  <si>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</si>
  <si>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</si>
  <si>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</si>
  <si>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</si>
  <si>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</si>
  <si>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</si>
  <si>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</si>
  <si>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</si>
  <si>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</si>
  <si>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</si>
  <si>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</si>
  <si>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</si>
  <si>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</si>
  <si>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</si>
  <si>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</si>
  <si>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</si>
  <si>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Product</t>
  </si>
  <si>
    <t>Quantity</t>
  </si>
  <si>
    <t>Price</t>
  </si>
  <si>
    <t>A</t>
  </si>
  <si>
    <t>B</t>
  </si>
  <si>
    <t>C</t>
  </si>
  <si>
    <t>D</t>
  </si>
  <si>
    <t>E</t>
  </si>
  <si>
    <t>Employee</t>
  </si>
  <si>
    <t>Department</t>
  </si>
  <si>
    <t>Age</t>
  </si>
  <si>
    <t>Salary</t>
  </si>
  <si>
    <t>Rahul</t>
  </si>
  <si>
    <t>Sales</t>
  </si>
  <si>
    <t>Priya</t>
  </si>
  <si>
    <t>HR</t>
  </si>
  <si>
    <t>Amit</t>
  </si>
  <si>
    <t>Neha</t>
  </si>
  <si>
    <t>IT</t>
  </si>
  <si>
    <t>Rohit</t>
  </si>
  <si>
    <t>Anjali</t>
  </si>
  <si>
    <t xml:space="preserve">   </t>
  </si>
  <si>
    <t xml:space="preserve"> </t>
  </si>
  <si>
    <t>Raj</t>
  </si>
  <si>
    <t>Column1</t>
  </si>
  <si>
    <t>VIRAT'KOHLI'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</si>
</sst>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_);\(0.00\)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Arial Narrow"/>
      <family val="2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1" applyNumberFormat="0" applyFill="0" applyBorder="0" applyAlignment="0" applyProtection="0"/>
    <xf numFmtId="0" fontId="6" fillId="0" borderId="0" applyNumberFormat="0" applyFill="0" applyAlignment="0" applyProtection="0"/>
    <xf numFmtId="9" fontId="8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14" fontId="0" fillId="0" borderId="0" xfId="0" applyNumberFormat="1"/>
    <xf numFmtId="18" fontId="0" fillId="0" borderId="0" xfId="0" applyNumberFormat="1"/>
    <xf numFmtId="1" fontId="0" fillId="0" borderId="0" xfId="0" applyNumberFormat="1"/>
    <xf numFmtId="0" fontId="3" fillId="0" borderId="0" xfId="1" applyAlignment="1">
      <alignment horizontal="center" vertical="center"/>
    </xf>
    <xf numFmtId="1" fontId="3" fillId="0" borderId="0" xfId="1" applyNumberFormat="1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3" fillId="0" borderId="0" xfId="1" applyAlignment="1" applyProtection="1">
      <alignment vertical="center"/>
      <protection locked="0"/>
    </xf>
    <xf numFmtId="164" fontId="3" fillId="0" borderId="0" xfId="2" applyNumberFormat="1" applyFont="1" applyFill="1" applyBorder="1" applyAlignment="1" applyProtection="1">
      <alignment vertical="center"/>
    </xf>
    <xf numFmtId="14" fontId="3" fillId="0" borderId="0" xfId="1" applyNumberFormat="1" applyAlignment="1">
      <alignment vertical="center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7" applyFont="1"/>
    <xf numFmtId="9" fontId="0" fillId="0" borderId="0" xfId="7" applyFont="1" applyAlignment="1">
      <alignment vertical="center" wrapText="1"/>
    </xf>
    <xf numFmtId="0" fontId="0" fillId="0" borderId="0" xfId="0" applyNumberFormat="1"/>
  </cellXfs>
  <cellStyles count="8">
    <cellStyle name="Comma 2" xfId="2" xr:uid="{75AB1DF8-B7E3-4316-A3B4-9DCAE3C1E76C}"/>
    <cellStyle name="Followed Hyperlink" xfId="4" builtinId="9" customBuiltin="1"/>
    <cellStyle name="Heading 1 2" xfId="5" xr:uid="{C01A2397-EB2C-4842-A39F-F6BF3E725947}"/>
    <cellStyle name="Heading 2 2" xfId="6" xr:uid="{DB91A4E8-C100-4778-954D-DD1239B0BE79}"/>
    <cellStyle name="Hyperlink" xfId="3" builtinId="8" customBuiltin="1"/>
    <cellStyle name="Normal" xfId="0" builtinId="0"/>
    <cellStyle name="Normal 2" xfId="1" xr:uid="{F1A27C8C-524A-4F74-92B5-6C1E79C78C6A}"/>
    <cellStyle name="Percent" xfId="7" builtinId="5"/>
  </cellStyles>
  <dxfs count="6"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connections" Target="connection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2FBFCF-A272-4FA2-AFE5-66E35EE84CB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Employee" tableColumnId="1"/>
      <queryTableField id="2" name="Department" tableColumnId="2"/>
      <queryTableField id="3" name="Salary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7DD6B-86E9-491F-BD05-D16AD84BB5CF}" name="Table1" displayName="Table1" ref="AA23:AC30" totalsRowShown="0" dataDxfId="2">
  <autoFilter ref="AA23:AC30" xr:uid="{E537DD6B-86E9-491F-BD05-D16AD84BB5CF}"/>
  <tableColumns count="3">
    <tableColumn id="1" xr3:uid="{6DFF394F-8107-430B-A73B-F9D815635B9E}" name="Employee" dataDxfId="5"/>
    <tableColumn id="2" xr3:uid="{8EE8A44A-4F7B-4F7E-A832-EF892C5F24B2}" name="Department" dataDxfId="4"/>
    <tableColumn id="3" xr3:uid="{A1B9ADDE-F1CE-4BC5-AF21-E224D16B1951}" name="Salary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C4B3B8-6216-4A46-83D0-DAA61EAE9E7E}" name="Table12" displayName="Table12" ref="AG13:AJ19" tableType="queryTable" totalsRowShown="0">
  <autoFilter ref="AG13:AJ19" xr:uid="{94C4B3B8-6216-4A46-83D0-DAA61EAE9E7E}"/>
  <tableColumns count="4">
    <tableColumn id="1" xr3:uid="{65148CA5-18B9-474C-84E3-BC98B33BAFFD}" uniqueName="1" name="Employee" queryTableFieldId="1" dataDxfId="1"/>
    <tableColumn id="2" xr3:uid="{F71520AB-040F-4C90-8366-80866B8E5D4A}" uniqueName="2" name="Department" queryTableFieldId="2" dataDxfId="0"/>
    <tableColumn id="3" xr3:uid="{32723661-A862-4C78-A33B-AC003F907722}" uniqueName="3" name="Salary" queryTableFieldId="3"/>
    <tableColumn id="4" xr3:uid="{83C263EF-AF9D-48F0-BCC4-EF4FCFEF4CE7}" uniqueName="4" name="Column1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C395-6C70-4A5B-807A-92BBC8498983}">
  <dimension ref="B2:N16"/>
  <sheetViews>
    <sheetView workbookViewId="0">
      <selection activeCell="E8" sqref="E8"/>
    </sheetView>
  </sheetViews>
  <sheetFormatPr defaultRowHeight="14.4" x14ac:dyDescent="0.3"/>
  <sheetData>
    <row r="2" spans="2:14" x14ac:dyDescent="0.3">
      <c r="B2" s="1"/>
      <c r="D2">
        <f t="shared" ref="D2:D10" ca="1" si="0">RANDBETWEEN(1,300)</f>
        <v>36</v>
      </c>
      <c r="E2">
        <f t="shared" ref="E2:G16" ca="1" si="1">RANDBETWEEN(1,300)</f>
        <v>78</v>
      </c>
      <c r="F2">
        <f t="shared" ca="1" si="1"/>
        <v>11</v>
      </c>
      <c r="G2">
        <f t="shared" ca="1" si="1"/>
        <v>256</v>
      </c>
      <c r="H2">
        <f ca="1">SUM(D2:G2)</f>
        <v>381</v>
      </c>
      <c r="J2">
        <f t="shared" ref="J2:N10" ca="1" si="2">RANDBETWEEN(1,300)</f>
        <v>202</v>
      </c>
      <c r="K2">
        <f t="shared" ca="1" si="2"/>
        <v>221</v>
      </c>
      <c r="L2">
        <f t="shared" ca="1" si="2"/>
        <v>34</v>
      </c>
      <c r="M2">
        <f t="shared" ca="1" si="2"/>
        <v>172</v>
      </c>
    </row>
    <row r="3" spans="2:14" x14ac:dyDescent="0.3">
      <c r="D3">
        <f t="shared" ca="1" si="0"/>
        <v>251</v>
      </c>
      <c r="E3">
        <f t="shared" ca="1" si="1"/>
        <v>49</v>
      </c>
      <c r="F3">
        <f t="shared" ca="1" si="1"/>
        <v>29</v>
      </c>
      <c r="G3">
        <f t="shared" ca="1" si="1"/>
        <v>194</v>
      </c>
      <c r="H3">
        <f ca="1">SUM(D3:G3)</f>
        <v>523</v>
      </c>
      <c r="J3">
        <f t="shared" ca="1" si="2"/>
        <v>22</v>
      </c>
      <c r="K3">
        <f t="shared" ca="1" si="2"/>
        <v>222</v>
      </c>
      <c r="L3">
        <f t="shared" ca="1" si="2"/>
        <v>81</v>
      </c>
      <c r="M3">
        <f t="shared" ca="1" si="2"/>
        <v>80</v>
      </c>
    </row>
    <row r="4" spans="2:14" x14ac:dyDescent="0.3">
      <c r="D4">
        <f t="shared" ca="1" si="0"/>
        <v>68</v>
      </c>
      <c r="E4">
        <f t="shared" ca="1" si="1"/>
        <v>78</v>
      </c>
      <c r="F4">
        <f t="shared" ca="1" si="1"/>
        <v>61</v>
      </c>
      <c r="G4">
        <f t="shared" ca="1" si="1"/>
        <v>233</v>
      </c>
      <c r="J4">
        <f t="shared" ca="1" si="2"/>
        <v>286</v>
      </c>
      <c r="K4">
        <f t="shared" ca="1" si="2"/>
        <v>249</v>
      </c>
      <c r="L4">
        <f t="shared" ca="1" si="2"/>
        <v>296</v>
      </c>
      <c r="M4">
        <f t="shared" ca="1" si="2"/>
        <v>127</v>
      </c>
    </row>
    <row r="5" spans="2:14" x14ac:dyDescent="0.3">
      <c r="D5">
        <f t="shared" ca="1" si="0"/>
        <v>46</v>
      </c>
      <c r="E5">
        <f t="shared" ca="1" si="1"/>
        <v>222</v>
      </c>
      <c r="F5">
        <f t="shared" ca="1" si="1"/>
        <v>114</v>
      </c>
      <c r="G5">
        <f t="shared" ca="1" si="1"/>
        <v>231</v>
      </c>
      <c r="J5">
        <f t="shared" ca="1" si="2"/>
        <v>69</v>
      </c>
      <c r="K5">
        <f t="shared" ca="1" si="2"/>
        <v>73</v>
      </c>
      <c r="L5">
        <f t="shared" ca="1" si="2"/>
        <v>72</v>
      </c>
      <c r="M5">
        <f t="shared" ca="1" si="2"/>
        <v>15</v>
      </c>
    </row>
    <row r="6" spans="2:14" x14ac:dyDescent="0.3">
      <c r="D6">
        <f t="shared" ca="1" si="0"/>
        <v>207</v>
      </c>
      <c r="E6">
        <f t="shared" ca="1" si="1"/>
        <v>147</v>
      </c>
      <c r="F6">
        <f t="shared" ca="1" si="1"/>
        <v>121</v>
      </c>
      <c r="G6">
        <f t="shared" ca="1" si="1"/>
        <v>191</v>
      </c>
      <c r="J6">
        <f t="shared" ca="1" si="2"/>
        <v>276</v>
      </c>
      <c r="K6">
        <f t="shared" ca="1" si="2"/>
        <v>297</v>
      </c>
      <c r="L6">
        <f t="shared" ca="1" si="2"/>
        <v>289</v>
      </c>
      <c r="M6">
        <f t="shared" ca="1" si="2"/>
        <v>193</v>
      </c>
    </row>
    <row r="7" spans="2:14" x14ac:dyDescent="0.3">
      <c r="D7">
        <f t="shared" ca="1" si="0"/>
        <v>20</v>
      </c>
      <c r="E7">
        <f t="shared" ca="1" si="1"/>
        <v>277</v>
      </c>
      <c r="F7">
        <f t="shared" ca="1" si="1"/>
        <v>216</v>
      </c>
      <c r="G7">
        <f t="shared" ca="1" si="1"/>
        <v>7</v>
      </c>
      <c r="J7">
        <f t="shared" ca="1" si="2"/>
        <v>23</v>
      </c>
      <c r="K7">
        <f t="shared" ca="1" si="2"/>
        <v>14</v>
      </c>
      <c r="L7">
        <f t="shared" ca="1" si="2"/>
        <v>222</v>
      </c>
      <c r="N7">
        <f t="shared" ca="1" si="2"/>
        <v>229</v>
      </c>
    </row>
    <row r="8" spans="2:14" x14ac:dyDescent="0.3">
      <c r="D8">
        <f t="shared" ca="1" si="0"/>
        <v>290</v>
      </c>
      <c r="E8">
        <f t="shared" ca="1" si="1"/>
        <v>5</v>
      </c>
      <c r="F8">
        <f t="shared" ca="1" si="1"/>
        <v>164</v>
      </c>
      <c r="G8">
        <f t="shared" ca="1" si="1"/>
        <v>279</v>
      </c>
      <c r="J8">
        <f t="shared" ca="1" si="2"/>
        <v>58</v>
      </c>
      <c r="K8">
        <f t="shared" ca="1" si="2"/>
        <v>14</v>
      </c>
      <c r="L8">
        <f t="shared" ca="1" si="2"/>
        <v>178</v>
      </c>
      <c r="M8">
        <f t="shared" ca="1" si="2"/>
        <v>16</v>
      </c>
    </row>
    <row r="9" spans="2:14" x14ac:dyDescent="0.3">
      <c r="D9">
        <f t="shared" ca="1" si="0"/>
        <v>48</v>
      </c>
      <c r="E9">
        <f t="shared" ca="1" si="1"/>
        <v>15</v>
      </c>
      <c r="F9">
        <f t="shared" ca="1" si="1"/>
        <v>293</v>
      </c>
      <c r="G9">
        <f t="shared" ca="1" si="1"/>
        <v>164</v>
      </c>
      <c r="J9">
        <f t="shared" ca="1" si="2"/>
        <v>111</v>
      </c>
      <c r="K9">
        <f t="shared" ca="1" si="2"/>
        <v>265</v>
      </c>
      <c r="L9">
        <f t="shared" ca="1" si="2"/>
        <v>214</v>
      </c>
      <c r="M9">
        <f t="shared" ca="1" si="2"/>
        <v>117</v>
      </c>
    </row>
    <row r="10" spans="2:14" x14ac:dyDescent="0.3">
      <c r="D10">
        <f t="shared" ca="1" si="0"/>
        <v>9</v>
      </c>
      <c r="E10">
        <f t="shared" ca="1" si="1"/>
        <v>296</v>
      </c>
      <c r="F10">
        <f t="shared" ca="1" si="1"/>
        <v>274</v>
      </c>
      <c r="G10">
        <f t="shared" ca="1" si="1"/>
        <v>57</v>
      </c>
      <c r="J10">
        <f t="shared" ca="1" si="2"/>
        <v>97</v>
      </c>
      <c r="K10">
        <f t="shared" ca="1" si="2"/>
        <v>127</v>
      </c>
      <c r="L10">
        <f t="shared" ca="1" si="2"/>
        <v>167</v>
      </c>
      <c r="M10">
        <f t="shared" ca="1" si="2"/>
        <v>62</v>
      </c>
    </row>
    <row r="11" spans="2:14" x14ac:dyDescent="0.3">
      <c r="F11">
        <f ca="1">RANDBETWEEN(1,300)</f>
        <v>162</v>
      </c>
      <c r="G11">
        <f t="shared" ca="1" si="1"/>
        <v>278</v>
      </c>
    </row>
    <row r="12" spans="2:14" x14ac:dyDescent="0.3">
      <c r="F12">
        <f ca="1">RANDBETWEEN(1,300)</f>
        <v>164</v>
      </c>
      <c r="G12">
        <f t="shared" ca="1" si="1"/>
        <v>287</v>
      </c>
    </row>
    <row r="13" spans="2:14" x14ac:dyDescent="0.3">
      <c r="G13">
        <f t="shared" ca="1" si="1"/>
        <v>181</v>
      </c>
    </row>
    <row r="14" spans="2:14" x14ac:dyDescent="0.3">
      <c r="G14">
        <f t="shared" ca="1" si="1"/>
        <v>35</v>
      </c>
    </row>
    <row r="15" spans="2:14" x14ac:dyDescent="0.3">
      <c r="G15">
        <f t="shared" ca="1" si="1"/>
        <v>92</v>
      </c>
    </row>
    <row r="16" spans="2:14" x14ac:dyDescent="0.3">
      <c r="G16">
        <f t="shared" ca="1" si="1"/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5B8F-6A7B-42C6-9444-D6A8326E5FC4}">
  <dimension ref="A4:AJ36"/>
  <sheetViews>
    <sheetView tabSelected="1" zoomScale="98" zoomScaleNormal="98" workbookViewId="0">
      <selection activeCell="T24" sqref="T24"/>
    </sheetView>
  </sheetViews>
  <sheetFormatPr defaultRowHeight="14.4" x14ac:dyDescent="0.3"/>
  <cols>
    <col min="1" max="1" width="10.88671875" bestFit="1" customWidth="1"/>
    <col min="2" max="6" width="10.44140625" customWidth="1"/>
    <col min="7" max="7" width="13.33203125" bestFit="1" customWidth="1"/>
    <col min="8" max="9" width="10.44140625" customWidth="1"/>
    <col min="10" max="10" width="17.77734375" bestFit="1" customWidth="1"/>
    <col min="27" max="27" width="11.44140625" customWidth="1"/>
    <col min="28" max="28" width="13.21875" customWidth="1"/>
    <col min="33" max="33" width="11.77734375" bestFit="1" customWidth="1"/>
    <col min="34" max="34" width="13.5546875" bestFit="1" customWidth="1"/>
    <col min="35" max="35" width="8.5546875" bestFit="1" customWidth="1"/>
  </cols>
  <sheetData>
    <row r="4" spans="1:36" x14ac:dyDescent="0.3">
      <c r="J4">
        <f>37/112</f>
        <v>0.33035714285714285</v>
      </c>
    </row>
    <row r="5" spans="1:36" x14ac:dyDescent="0.3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14</v>
      </c>
    </row>
    <row r="6" spans="1:36" ht="28.8" x14ac:dyDescent="0.3">
      <c r="A6" t="s">
        <v>4</v>
      </c>
      <c r="B6">
        <v>93</v>
      </c>
      <c r="C6">
        <v>67</v>
      </c>
      <c r="D6">
        <v>10</v>
      </c>
      <c r="E6">
        <f>SUM(B6:D6)</f>
        <v>170</v>
      </c>
      <c r="F6" t="str">
        <f>IF(E6&gt;160,"A",IF(E6&gt;120,"B",IF(E6&gt;80,"C","fail")))</f>
        <v>A</v>
      </c>
      <c r="G6" s="16">
        <f>E6/$E$15</f>
        <v>0.1263001485884101</v>
      </c>
      <c r="H6" s="16">
        <f>E6/$E$15</f>
        <v>0.1263001485884101</v>
      </c>
      <c r="J6">
        <f>37/112</f>
        <v>0.33035714285714285</v>
      </c>
      <c r="S6" s="14" t="s">
        <v>53</v>
      </c>
      <c r="T6" s="14" t="s">
        <v>54</v>
      </c>
      <c r="U6" s="14" t="s">
        <v>55</v>
      </c>
      <c r="V6" s="14" t="s">
        <v>56</v>
      </c>
    </row>
    <row r="7" spans="1:36" x14ac:dyDescent="0.3">
      <c r="A7" t="s">
        <v>5</v>
      </c>
      <c r="B7">
        <v>37</v>
      </c>
      <c r="C7">
        <v>40</v>
      </c>
      <c r="D7">
        <v>35</v>
      </c>
      <c r="E7">
        <f t="shared" ref="E7:E14" si="0">SUM(B7:D7)</f>
        <v>112</v>
      </c>
      <c r="F7" t="str">
        <f>IF(E7&gt;160,"A",IF(E7&gt;120,"B",IF(E7&gt;80,"C","fail")))</f>
        <v>C</v>
      </c>
      <c r="G7" s="16">
        <f>E7/$E$15</f>
        <v>8.3209509658246653E-2</v>
      </c>
      <c r="H7" s="16">
        <f t="shared" ref="H7:H14" si="1">E7/$E$15</f>
        <v>8.3209509658246653E-2</v>
      </c>
      <c r="I7" s="2">
        <f ca="1">TODAY()</f>
        <v>46272</v>
      </c>
      <c r="S7" s="15" t="s">
        <v>57</v>
      </c>
      <c r="T7" s="15" t="s">
        <v>58</v>
      </c>
      <c r="U7" s="15">
        <v>25</v>
      </c>
      <c r="V7" s="15">
        <v>25000</v>
      </c>
      <c r="W7">
        <f>SUM(U7:V7)</f>
        <v>25025</v>
      </c>
      <c r="X7" s="16">
        <f t="shared" ref="X7:X12" si="2">V7/$V$13</f>
        <v>0.1111111111111111</v>
      </c>
      <c r="Z7" s="15" t="s">
        <v>57</v>
      </c>
      <c r="AA7" s="15" t="s">
        <v>58</v>
      </c>
      <c r="AB7" s="17">
        <f>U7/W7</f>
        <v>9.99000999000999E-4</v>
      </c>
      <c r="AC7" s="17" t="s">
        <v>67</v>
      </c>
    </row>
    <row r="8" spans="1:36" x14ac:dyDescent="0.3">
      <c r="A8" t="s">
        <v>6</v>
      </c>
      <c r="B8">
        <v>42</v>
      </c>
      <c r="C8">
        <v>39</v>
      </c>
      <c r="D8">
        <v>67</v>
      </c>
      <c r="E8">
        <f t="shared" si="0"/>
        <v>148</v>
      </c>
      <c r="F8" t="str">
        <f t="shared" ref="F8:F15" si="3">IF(E8&gt;160,"A",IF(E8&gt;120,"B",IF(E8&gt;80,"C","fail")))</f>
        <v>B</v>
      </c>
      <c r="G8" s="16">
        <f t="shared" ref="G8:G15" si="4">E8/$E$15</f>
        <v>0.10995542347696879</v>
      </c>
      <c r="H8" s="16">
        <f t="shared" si="1"/>
        <v>0.10995542347696879</v>
      </c>
      <c r="I8" s="3">
        <f>TIME(2,49,35)</f>
        <v>0.11776620370370371</v>
      </c>
      <c r="M8" s="14" t="s">
        <v>45</v>
      </c>
      <c r="N8" s="14" t="s">
        <v>46</v>
      </c>
      <c r="O8" s="14" t="s">
        <v>47</v>
      </c>
      <c r="P8" s="14" t="s">
        <v>25</v>
      </c>
      <c r="S8" s="15" t="s">
        <v>61</v>
      </c>
      <c r="T8" s="15" t="s">
        <v>58</v>
      </c>
      <c r="U8" s="15">
        <v>28</v>
      </c>
      <c r="V8" s="15">
        <v>30000</v>
      </c>
      <c r="W8">
        <f t="shared" ref="W8:W12" si="5">SUM(U8:V8)</f>
        <v>30028</v>
      </c>
      <c r="X8" s="16">
        <f t="shared" si="2"/>
        <v>0.13333333333333333</v>
      </c>
      <c r="Z8" s="15" t="s">
        <v>61</v>
      </c>
      <c r="AA8" s="15" t="s">
        <v>58</v>
      </c>
      <c r="AB8" s="15"/>
    </row>
    <row r="9" spans="1:36" x14ac:dyDescent="0.3">
      <c r="A9" t="s">
        <v>7</v>
      </c>
      <c r="B9">
        <v>33</v>
      </c>
      <c r="C9">
        <v>40</v>
      </c>
      <c r="D9">
        <v>18</v>
      </c>
      <c r="E9">
        <f t="shared" si="0"/>
        <v>91</v>
      </c>
      <c r="F9" t="str">
        <f t="shared" si="3"/>
        <v>C</v>
      </c>
      <c r="G9" s="16">
        <f t="shared" si="4"/>
        <v>6.7607726597325404E-2</v>
      </c>
      <c r="H9" s="16">
        <f t="shared" si="1"/>
        <v>6.7607726597325404E-2</v>
      </c>
      <c r="I9" t="s">
        <v>15</v>
      </c>
      <c r="K9">
        <f>COUNT(B6:E14)</f>
        <v>36</v>
      </c>
      <c r="M9" s="15" t="s">
        <v>48</v>
      </c>
      <c r="N9" s="15">
        <v>5</v>
      </c>
      <c r="O9" s="15">
        <v>100</v>
      </c>
      <c r="P9" s="15"/>
      <c r="Q9" t="str">
        <f>IF(O9&gt;80,"m",IF(O9&gt;35,"p","f"))</f>
        <v>m</v>
      </c>
      <c r="S9" s="15" t="s">
        <v>65</v>
      </c>
      <c r="T9" s="15" t="s">
        <v>60</v>
      </c>
      <c r="U9" s="15">
        <v>27</v>
      </c>
      <c r="V9" s="15">
        <v>35000</v>
      </c>
      <c r="W9">
        <f t="shared" si="5"/>
        <v>35027</v>
      </c>
      <c r="X9" s="16">
        <f t="shared" si="2"/>
        <v>0.15555555555555556</v>
      </c>
      <c r="Z9" s="15" t="s">
        <v>65</v>
      </c>
      <c r="AA9" s="15" t="s">
        <v>60</v>
      </c>
      <c r="AB9" s="15"/>
    </row>
    <row r="10" spans="1:36" x14ac:dyDescent="0.3">
      <c r="A10" t="s">
        <v>8</v>
      </c>
      <c r="B10">
        <v>71</v>
      </c>
      <c r="C10">
        <v>78</v>
      </c>
      <c r="D10">
        <v>49</v>
      </c>
      <c r="E10">
        <f t="shared" si="0"/>
        <v>198</v>
      </c>
      <c r="F10" t="str">
        <f t="shared" si="3"/>
        <v>A</v>
      </c>
      <c r="G10" s="16">
        <f t="shared" si="4"/>
        <v>0.14710252600297177</v>
      </c>
      <c r="H10" s="16">
        <f t="shared" si="1"/>
        <v>0.14710252600297177</v>
      </c>
      <c r="M10" s="15" t="s">
        <v>49</v>
      </c>
      <c r="N10" s="15">
        <v>8</v>
      </c>
      <c r="O10" s="15">
        <v>75</v>
      </c>
      <c r="P10" s="15"/>
      <c r="Q10" t="str">
        <f t="shared" ref="Q10:Q13" si="6">IF(O10&gt;80,"m",IF(O10&gt;35,"p","f"))</f>
        <v>p</v>
      </c>
      <c r="S10" s="15" t="s">
        <v>59</v>
      </c>
      <c r="T10" s="15" t="s">
        <v>60</v>
      </c>
      <c r="U10" s="15">
        <v>32</v>
      </c>
      <c r="V10" s="15">
        <v>40000</v>
      </c>
      <c r="W10">
        <f t="shared" si="5"/>
        <v>40032</v>
      </c>
      <c r="X10" s="16">
        <f t="shared" si="2"/>
        <v>0.17777777777777778</v>
      </c>
      <c r="Z10" s="15" t="s">
        <v>59</v>
      </c>
      <c r="AA10" s="15" t="s">
        <v>60</v>
      </c>
      <c r="AB10" s="15"/>
    </row>
    <row r="11" spans="1:36" x14ac:dyDescent="0.3">
      <c r="A11" t="s">
        <v>9</v>
      </c>
      <c r="B11">
        <v>80</v>
      </c>
      <c r="C11">
        <v>5</v>
      </c>
      <c r="D11">
        <v>35</v>
      </c>
      <c r="E11">
        <f t="shared" si="0"/>
        <v>120</v>
      </c>
      <c r="F11" t="str">
        <f t="shared" si="3"/>
        <v>C</v>
      </c>
      <c r="G11" s="16">
        <f t="shared" si="4"/>
        <v>8.9153046062407135E-2</v>
      </c>
      <c r="H11" s="16">
        <f t="shared" si="1"/>
        <v>8.9153046062407135E-2</v>
      </c>
      <c r="I11">
        <f>E8+E10+E12</f>
        <v>545</v>
      </c>
      <c r="M11" s="15" t="s">
        <v>50</v>
      </c>
      <c r="N11" s="15">
        <v>10</v>
      </c>
      <c r="O11" s="15">
        <v>60</v>
      </c>
      <c r="P11" s="15"/>
      <c r="Q11" t="str">
        <f t="shared" si="6"/>
        <v>p</v>
      </c>
      <c r="S11" s="15" t="s">
        <v>62</v>
      </c>
      <c r="T11" s="15" t="s">
        <v>63</v>
      </c>
      <c r="U11" s="15">
        <v>22</v>
      </c>
      <c r="V11" s="15">
        <v>45000</v>
      </c>
      <c r="W11">
        <f t="shared" si="5"/>
        <v>45022</v>
      </c>
      <c r="X11" s="16">
        <f t="shared" si="2"/>
        <v>0.2</v>
      </c>
      <c r="Z11" s="15" t="s">
        <v>62</v>
      </c>
      <c r="AA11" s="15" t="s">
        <v>63</v>
      </c>
      <c r="AB11" s="15"/>
    </row>
    <row r="12" spans="1:36" x14ac:dyDescent="0.3">
      <c r="A12" t="s">
        <v>10</v>
      </c>
      <c r="B12">
        <v>68</v>
      </c>
      <c r="C12">
        <v>69</v>
      </c>
      <c r="D12">
        <v>62</v>
      </c>
      <c r="E12">
        <f t="shared" si="0"/>
        <v>199</v>
      </c>
      <c r="F12" t="str">
        <f t="shared" si="3"/>
        <v>A</v>
      </c>
      <c r="G12" s="16">
        <f t="shared" si="4"/>
        <v>0.14784546805349183</v>
      </c>
      <c r="H12" s="16">
        <f t="shared" si="1"/>
        <v>0.14784546805349183</v>
      </c>
      <c r="I12">
        <f>MIN(E:E)</f>
        <v>1</v>
      </c>
      <c r="M12" s="15" t="s">
        <v>51</v>
      </c>
      <c r="N12" s="15">
        <v>12</v>
      </c>
      <c r="O12" s="15">
        <v>50</v>
      </c>
      <c r="P12" s="15"/>
      <c r="Q12" t="str">
        <f t="shared" si="6"/>
        <v>p</v>
      </c>
      <c r="S12" s="15" t="s">
        <v>64</v>
      </c>
      <c r="T12" s="15" t="s">
        <v>58</v>
      </c>
      <c r="U12" s="15">
        <v>35</v>
      </c>
      <c r="V12" s="15">
        <v>50000</v>
      </c>
      <c r="W12">
        <f t="shared" si="5"/>
        <v>50035</v>
      </c>
      <c r="X12" s="16">
        <f t="shared" si="2"/>
        <v>0.22222222222222221</v>
      </c>
      <c r="Z12" s="15" t="s">
        <v>64</v>
      </c>
      <c r="AA12" s="15" t="s">
        <v>58</v>
      </c>
      <c r="AB12" s="15"/>
    </row>
    <row r="13" spans="1:36" x14ac:dyDescent="0.3">
      <c r="A13" t="s">
        <v>11</v>
      </c>
      <c r="B13">
        <v>78</v>
      </c>
      <c r="C13">
        <v>86</v>
      </c>
      <c r="D13">
        <v>11</v>
      </c>
      <c r="E13">
        <f t="shared" si="0"/>
        <v>175</v>
      </c>
      <c r="F13" t="str">
        <f t="shared" si="3"/>
        <v>A</v>
      </c>
      <c r="G13" s="16">
        <f t="shared" si="4"/>
        <v>0.13001485884101041</v>
      </c>
      <c r="H13" s="16">
        <f t="shared" si="1"/>
        <v>0.13001485884101041</v>
      </c>
      <c r="M13" s="15" t="s">
        <v>52</v>
      </c>
      <c r="N13" s="15">
        <v>15</v>
      </c>
      <c r="O13" s="15">
        <v>40</v>
      </c>
      <c r="Q13" t="str">
        <f t="shared" si="6"/>
        <v>p</v>
      </c>
      <c r="V13">
        <f>SUM(V7:V12)</f>
        <v>225000</v>
      </c>
      <c r="AG13" t="s">
        <v>53</v>
      </c>
      <c r="AH13" t="s">
        <v>54</v>
      </c>
      <c r="AI13" t="s">
        <v>56</v>
      </c>
      <c r="AJ13" t="s">
        <v>69</v>
      </c>
    </row>
    <row r="14" spans="1:36" x14ac:dyDescent="0.3">
      <c r="A14" t="s">
        <v>12</v>
      </c>
      <c r="B14">
        <v>14</v>
      </c>
      <c r="C14">
        <v>33</v>
      </c>
      <c r="D14">
        <v>86</v>
      </c>
      <c r="E14">
        <f t="shared" si="0"/>
        <v>133</v>
      </c>
      <c r="F14" t="str">
        <f t="shared" si="3"/>
        <v>B</v>
      </c>
      <c r="G14" s="16">
        <f t="shared" si="4"/>
        <v>9.8811292719167901E-2</v>
      </c>
      <c r="H14" s="16">
        <f t="shared" si="1"/>
        <v>9.8811292719167901E-2</v>
      </c>
      <c r="J14" s="4">
        <v>787545321321</v>
      </c>
      <c r="K14" t="str">
        <f>RIGHT(J14,7)</f>
        <v>5321321</v>
      </c>
      <c r="O14">
        <f>SUM(O9:O13)</f>
        <v>325</v>
      </c>
      <c r="AG14" s="18" t="s">
        <v>57</v>
      </c>
      <c r="AH14" s="18" t="s">
        <v>63</v>
      </c>
      <c r="AI14">
        <v>45000</v>
      </c>
    </row>
    <row r="15" spans="1:36" x14ac:dyDescent="0.3">
      <c r="D15">
        <f>SUM(D6:D14)</f>
        <v>373</v>
      </c>
      <c r="E15">
        <f>SUM(E6:E14)</f>
        <v>1346</v>
      </c>
      <c r="F15" t="str">
        <f t="shared" si="3"/>
        <v>A</v>
      </c>
      <c r="G15" s="16">
        <f t="shared" si="4"/>
        <v>1</v>
      </c>
      <c r="H15" s="16">
        <f>E15/$E$15</f>
        <v>1</v>
      </c>
      <c r="J15" s="4">
        <v>787545321321</v>
      </c>
      <c r="K15" t="str">
        <f>LEFT(J14,5)</f>
        <v>78754</v>
      </c>
      <c r="AG15" s="18" t="s">
        <v>62</v>
      </c>
      <c r="AH15" s="18" t="s">
        <v>63</v>
      </c>
      <c r="AI15">
        <v>40000</v>
      </c>
    </row>
    <row r="16" spans="1:36" x14ac:dyDescent="0.3">
      <c r="H16" s="1" t="s">
        <v>16</v>
      </c>
      <c r="AG16" s="18" t="s">
        <v>68</v>
      </c>
      <c r="AH16" s="18" t="s">
        <v>58</v>
      </c>
      <c r="AI16">
        <v>35000</v>
      </c>
    </row>
    <row r="17" spans="1:36" x14ac:dyDescent="0.3">
      <c r="K17" s="1" t="s">
        <v>16</v>
      </c>
      <c r="X17">
        <v>100</v>
      </c>
      <c r="Y17">
        <v>110</v>
      </c>
      <c r="AG17" s="18" t="s">
        <v>59</v>
      </c>
      <c r="AH17" s="18" t="s">
        <v>60</v>
      </c>
      <c r="AI17">
        <v>30000</v>
      </c>
    </row>
    <row r="18" spans="1:36" x14ac:dyDescent="0.3">
      <c r="G18" s="1" t="s">
        <v>17</v>
      </c>
      <c r="H18" s="1"/>
      <c r="I18" t="e" cm="1" vm="1">
        <f t="array" aca="1" ref="I18" ca="1">_xlfn.TEXTSPLIT(G18,H18)</f>
        <v>#NAME?</v>
      </c>
      <c r="AG18" s="18" t="s">
        <v>61</v>
      </c>
      <c r="AH18" s="18" t="s">
        <v>58</v>
      </c>
      <c r="AI18">
        <v>25000</v>
      </c>
    </row>
    <row r="19" spans="1:36" x14ac:dyDescent="0.3">
      <c r="G19" t="s">
        <v>18</v>
      </c>
      <c r="J19" s="1" t="s">
        <v>70</v>
      </c>
      <c r="K19" s="1" t="s">
        <v>16</v>
      </c>
      <c r="X19" s="16">
        <f>Y17/X17-1</f>
        <v>0.10000000000000009</v>
      </c>
      <c r="AG19" s="18" t="s">
        <v>59</v>
      </c>
      <c r="AH19" s="18" t="s">
        <v>60</v>
      </c>
      <c r="AI19">
        <v>3000</v>
      </c>
      <c r="AJ19" t="s">
        <v>67</v>
      </c>
    </row>
    <row r="22" spans="1:36" x14ac:dyDescent="0.3">
      <c r="X22" t="s">
        <v>66</v>
      </c>
    </row>
    <row r="23" spans="1:36" x14ac:dyDescent="0.3">
      <c r="N23" t="s">
        <v>0</v>
      </c>
      <c r="O23" t="s">
        <v>1</v>
      </c>
      <c r="P23" t="s">
        <v>2</v>
      </c>
      <c r="Q23" t="s">
        <v>3</v>
      </c>
      <c r="R23" t="s">
        <v>13</v>
      </c>
      <c r="AA23" t="s">
        <v>53</v>
      </c>
      <c r="AB23" s="14" t="s">
        <v>54</v>
      </c>
      <c r="AC23" s="14" t="s">
        <v>56</v>
      </c>
      <c r="AE23" cm="1">
        <f t="array" ref="AE23:AG29">_xlfn.UNIQUE(AA22:AC29)</f>
        <v>0</v>
      </c>
      <c r="AF23">
        <v>0</v>
      </c>
      <c r="AG23">
        <v>0</v>
      </c>
    </row>
    <row r="24" spans="1:36" x14ac:dyDescent="0.3">
      <c r="A24" t="s">
        <v>0</v>
      </c>
      <c r="B24" t="s">
        <v>1</v>
      </c>
      <c r="C24" t="s">
        <v>2</v>
      </c>
      <c r="D24" t="s">
        <v>3</v>
      </c>
      <c r="E24" t="s">
        <v>13</v>
      </c>
      <c r="G24" t="s">
        <v>0</v>
      </c>
      <c r="H24" t="s">
        <v>1</v>
      </c>
      <c r="I24" t="s">
        <v>2</v>
      </c>
      <c r="J24" t="s">
        <v>3</v>
      </c>
      <c r="K24" t="s">
        <v>13</v>
      </c>
      <c r="N24" t="s">
        <v>4</v>
      </c>
      <c r="O24">
        <v>93</v>
      </c>
      <c r="P24">
        <v>67</v>
      </c>
      <c r="Q24">
        <v>10</v>
      </c>
      <c r="R24">
        <f>SUM(O24:Q24)</f>
        <v>170</v>
      </c>
      <c r="S24" t="str">
        <f>IF(R24&gt;150,"p"," ")</f>
        <v>p</v>
      </c>
      <c r="T24" t="str">
        <f>IF(AND(R24&lt;190,R24&gt;140),"A","B")</f>
        <v>A</v>
      </c>
      <c r="U24" t="str">
        <f>IF(AND(R24&gt;150,R24&lt;200),"t","f")</f>
        <v>t</v>
      </c>
      <c r="V24" t="str">
        <f>IF(AND(O24&gt;70,P24&gt;70),"p","f")</f>
        <v>f</v>
      </c>
      <c r="W24" t="str">
        <f>IF(OR(P24&lt;60,Q24&gt;8),"FU","FO")</f>
        <v>FU</v>
      </c>
      <c r="X24" t="str">
        <f>IF(OR(O24&gt;60,O24&lt;12),"T","F")</f>
        <v>T</v>
      </c>
      <c r="AA24" t="s">
        <v>57</v>
      </c>
      <c r="AB24" s="15" t="s">
        <v>63</v>
      </c>
      <c r="AC24" s="15">
        <v>45000</v>
      </c>
      <c r="AE24" t="str">
        <v>Employee</v>
      </c>
      <c r="AF24" t="str">
        <v>Department</v>
      </c>
      <c r="AG24" t="str">
        <v>Salary</v>
      </c>
    </row>
    <row r="25" spans="1:36" x14ac:dyDescent="0.3">
      <c r="A25" t="s">
        <v>4</v>
      </c>
      <c r="B25" s="16">
        <f>B6/$E6</f>
        <v>0.54705882352941182</v>
      </c>
      <c r="C25" s="16">
        <f t="shared" ref="C25:D25" si="7">C6/$E6</f>
        <v>0.39411764705882352</v>
      </c>
      <c r="D25" s="16">
        <f t="shared" si="7"/>
        <v>5.8823529411764705E-2</v>
      </c>
      <c r="E25" s="16">
        <f t="shared" ref="E25" si="8">E6/$E6</f>
        <v>1</v>
      </c>
      <c r="G25" t="s">
        <v>4</v>
      </c>
      <c r="H25" s="16">
        <f>B6/$E6</f>
        <v>0.54705882352941182</v>
      </c>
      <c r="I25" s="16">
        <f t="shared" ref="I25:K25" si="9">C6/$E6</f>
        <v>0.39411764705882352</v>
      </c>
      <c r="J25" s="16">
        <f t="shared" si="9"/>
        <v>5.8823529411764705E-2</v>
      </c>
      <c r="K25" s="16">
        <f t="shared" si="9"/>
        <v>1</v>
      </c>
      <c r="N25" t="s">
        <v>5</v>
      </c>
      <c r="O25">
        <v>37</v>
      </c>
      <c r="P25">
        <v>40</v>
      </c>
      <c r="Q25">
        <v>35</v>
      </c>
      <c r="R25">
        <f t="shared" ref="R25:R32" si="10">SUM(O25:Q25)</f>
        <v>112</v>
      </c>
      <c r="S25" t="str">
        <f t="shared" ref="S25:S32" si="11">IF(R25&gt;150,"p"," ")</f>
        <v xml:space="preserve"> </v>
      </c>
      <c r="T25" t="str">
        <f t="shared" ref="T25:T32" si="12">IF(AND(R25&lt;190,R25&gt;140),"A","B")</f>
        <v>B</v>
      </c>
      <c r="U25" t="str">
        <f t="shared" ref="U25:U32" si="13">IF(AND(R25&gt;150,R25&lt;200),"t","f")</f>
        <v>f</v>
      </c>
      <c r="V25" t="str">
        <f t="shared" ref="V25:V32" si="14">IF(AND(O25&gt;70,P25&gt;70),"p","f")</f>
        <v>f</v>
      </c>
      <c r="W25" t="str">
        <f t="shared" ref="W25:W32" si="15">IF(OR(P25&lt;60,Q25&gt;8),"FU","FO")</f>
        <v>FU</v>
      </c>
      <c r="X25" t="str">
        <f t="shared" ref="X25:X32" si="16">IF(OR(O25&gt;60,O25&lt;12),"T","F")</f>
        <v>F</v>
      </c>
      <c r="AA25" t="s">
        <v>62</v>
      </c>
      <c r="AB25" s="15" t="s">
        <v>63</v>
      </c>
      <c r="AC25" s="15">
        <v>40000</v>
      </c>
      <c r="AE25" t="str">
        <v>Rahul</v>
      </c>
      <c r="AF25" t="str">
        <v>IT</v>
      </c>
      <c r="AG25">
        <v>45000</v>
      </c>
    </row>
    <row r="26" spans="1:36" x14ac:dyDescent="0.3">
      <c r="A26" t="s">
        <v>5</v>
      </c>
      <c r="B26" s="16">
        <f t="shared" ref="B26:E26" si="17">B7/$E7</f>
        <v>0.33035714285714285</v>
      </c>
      <c r="C26" s="16">
        <f t="shared" si="17"/>
        <v>0.35714285714285715</v>
      </c>
      <c r="D26" s="16">
        <f t="shared" si="17"/>
        <v>0.3125</v>
      </c>
      <c r="E26" s="16">
        <f t="shared" si="17"/>
        <v>1</v>
      </c>
      <c r="G26" t="s">
        <v>5</v>
      </c>
      <c r="H26" s="16">
        <f t="shared" ref="H26:H33" si="18">B7/$E7</f>
        <v>0.33035714285714285</v>
      </c>
      <c r="I26" s="16">
        <f t="shared" ref="I26:I33" si="19">C7/$E7</f>
        <v>0.35714285714285715</v>
      </c>
      <c r="J26" s="16">
        <f t="shared" ref="J26:J33" si="20">D7/$E7</f>
        <v>0.3125</v>
      </c>
      <c r="K26" s="16">
        <f t="shared" ref="K26:K33" si="21">E7/$E7</f>
        <v>1</v>
      </c>
      <c r="N26" t="s">
        <v>6</v>
      </c>
      <c r="O26">
        <v>42</v>
      </c>
      <c r="P26">
        <v>39</v>
      </c>
      <c r="Q26">
        <v>67</v>
      </c>
      <c r="R26">
        <f t="shared" si="10"/>
        <v>148</v>
      </c>
      <c r="S26" t="str">
        <f t="shared" si="11"/>
        <v xml:space="preserve"> </v>
      </c>
      <c r="T26" t="str">
        <f t="shared" si="12"/>
        <v>A</v>
      </c>
      <c r="U26" t="str">
        <f t="shared" si="13"/>
        <v>f</v>
      </c>
      <c r="V26" t="str">
        <f t="shared" si="14"/>
        <v>f</v>
      </c>
      <c r="W26" t="str">
        <f t="shared" si="15"/>
        <v>FU</v>
      </c>
      <c r="X26" t="str">
        <f t="shared" si="16"/>
        <v>F</v>
      </c>
      <c r="AA26" t="s">
        <v>68</v>
      </c>
      <c r="AB26" s="15" t="s">
        <v>58</v>
      </c>
      <c r="AC26" s="15">
        <v>35000</v>
      </c>
      <c r="AE26" t="str">
        <v>Neha</v>
      </c>
      <c r="AF26" t="str">
        <v>IT</v>
      </c>
      <c r="AG26">
        <v>40000</v>
      </c>
    </row>
    <row r="27" spans="1:36" x14ac:dyDescent="0.3">
      <c r="A27" t="s">
        <v>6</v>
      </c>
      <c r="B27" s="16">
        <f t="shared" ref="B27:E27" si="22">B8/$E8</f>
        <v>0.28378378378378377</v>
      </c>
      <c r="C27" s="16">
        <f t="shared" si="22"/>
        <v>0.26351351351351349</v>
      </c>
      <c r="D27" s="16">
        <f t="shared" si="22"/>
        <v>0.45270270270270269</v>
      </c>
      <c r="E27" s="16">
        <f t="shared" si="22"/>
        <v>1</v>
      </c>
      <c r="G27" t="s">
        <v>6</v>
      </c>
      <c r="H27" s="16">
        <f t="shared" si="18"/>
        <v>0.28378378378378377</v>
      </c>
      <c r="I27" s="16">
        <f t="shared" si="19"/>
        <v>0.26351351351351349</v>
      </c>
      <c r="J27" s="16">
        <f t="shared" si="20"/>
        <v>0.45270270270270269</v>
      </c>
      <c r="K27" s="16">
        <f t="shared" si="21"/>
        <v>1</v>
      </c>
      <c r="N27" t="s">
        <v>7</v>
      </c>
      <c r="O27">
        <v>33</v>
      </c>
      <c r="P27">
        <v>40</v>
      </c>
      <c r="Q27">
        <v>18</v>
      </c>
      <c r="R27">
        <f t="shared" si="10"/>
        <v>91</v>
      </c>
      <c r="S27" t="str">
        <f t="shared" si="11"/>
        <v xml:space="preserve"> </v>
      </c>
      <c r="T27" t="str">
        <f t="shared" si="12"/>
        <v>B</v>
      </c>
      <c r="U27" t="str">
        <f t="shared" si="13"/>
        <v>f</v>
      </c>
      <c r="V27" t="str">
        <f t="shared" si="14"/>
        <v>f</v>
      </c>
      <c r="W27" t="str">
        <f t="shared" si="15"/>
        <v>FU</v>
      </c>
      <c r="X27" t="str">
        <f t="shared" si="16"/>
        <v>F</v>
      </c>
      <c r="AA27" s="15" t="s">
        <v>59</v>
      </c>
      <c r="AB27" s="15" t="s">
        <v>60</v>
      </c>
      <c r="AC27" s="15">
        <v>30000</v>
      </c>
      <c r="AE27" t="str">
        <v>Raj</v>
      </c>
      <c r="AF27" t="str">
        <v>Sales</v>
      </c>
      <c r="AG27">
        <v>35000</v>
      </c>
    </row>
    <row r="28" spans="1:36" x14ac:dyDescent="0.3">
      <c r="A28" t="s">
        <v>7</v>
      </c>
      <c r="B28" s="16">
        <f t="shared" ref="B28:E28" si="23">B9/$E9</f>
        <v>0.36263736263736263</v>
      </c>
      <c r="C28" s="16">
        <f t="shared" si="23"/>
        <v>0.43956043956043955</v>
      </c>
      <c r="D28" s="16">
        <f t="shared" si="23"/>
        <v>0.19780219780219779</v>
      </c>
      <c r="E28" s="16">
        <f t="shared" si="23"/>
        <v>1</v>
      </c>
      <c r="G28" t="s">
        <v>7</v>
      </c>
      <c r="H28" s="16">
        <f t="shared" si="18"/>
        <v>0.36263736263736263</v>
      </c>
      <c r="I28" s="16">
        <f t="shared" si="19"/>
        <v>0.43956043956043955</v>
      </c>
      <c r="J28" s="16">
        <f t="shared" si="20"/>
        <v>0.19780219780219779</v>
      </c>
      <c r="K28" s="16">
        <f t="shared" si="21"/>
        <v>1</v>
      </c>
      <c r="N28" t="s">
        <v>8</v>
      </c>
      <c r="O28">
        <v>71</v>
      </c>
      <c r="P28">
        <v>78</v>
      </c>
      <c r="Q28">
        <v>49</v>
      </c>
      <c r="R28">
        <f t="shared" si="10"/>
        <v>198</v>
      </c>
      <c r="S28" t="str">
        <f t="shared" si="11"/>
        <v>p</v>
      </c>
      <c r="T28" t="str">
        <f t="shared" si="12"/>
        <v>B</v>
      </c>
      <c r="U28" t="str">
        <f t="shared" si="13"/>
        <v>t</v>
      </c>
      <c r="V28" t="str">
        <f t="shared" si="14"/>
        <v>p</v>
      </c>
      <c r="W28" t="str">
        <f t="shared" si="15"/>
        <v>FU</v>
      </c>
      <c r="X28" t="str">
        <f t="shared" si="16"/>
        <v>T</v>
      </c>
      <c r="AA28" s="15" t="s">
        <v>61</v>
      </c>
      <c r="AB28" s="15" t="s">
        <v>58</v>
      </c>
      <c r="AC28" s="15">
        <v>25000</v>
      </c>
      <c r="AE28" t="str">
        <v>Priya</v>
      </c>
      <c r="AF28" t="str">
        <v>HR</v>
      </c>
      <c r="AG28">
        <v>30000</v>
      </c>
    </row>
    <row r="29" spans="1:36" x14ac:dyDescent="0.3">
      <c r="A29" t="s">
        <v>8</v>
      </c>
      <c r="B29" s="16">
        <f t="shared" ref="B29:E29" si="24">B10/$E10</f>
        <v>0.35858585858585856</v>
      </c>
      <c r="C29" s="16">
        <f t="shared" si="24"/>
        <v>0.39393939393939392</v>
      </c>
      <c r="D29" s="16">
        <f t="shared" si="24"/>
        <v>0.24747474747474749</v>
      </c>
      <c r="E29" s="16">
        <f t="shared" si="24"/>
        <v>1</v>
      </c>
      <c r="G29" t="s">
        <v>8</v>
      </c>
      <c r="H29" s="16">
        <f t="shared" si="18"/>
        <v>0.35858585858585856</v>
      </c>
      <c r="I29" s="16">
        <f t="shared" si="19"/>
        <v>0.39393939393939392</v>
      </c>
      <c r="J29" s="16">
        <f t="shared" si="20"/>
        <v>0.24747474747474749</v>
      </c>
      <c r="K29" s="16">
        <f t="shared" si="21"/>
        <v>1</v>
      </c>
      <c r="N29" t="s">
        <v>9</v>
      </c>
      <c r="O29">
        <v>80</v>
      </c>
      <c r="P29">
        <v>5</v>
      </c>
      <c r="Q29">
        <v>35</v>
      </c>
      <c r="R29">
        <f t="shared" si="10"/>
        <v>120</v>
      </c>
      <c r="S29" t="str">
        <f t="shared" si="11"/>
        <v xml:space="preserve"> </v>
      </c>
      <c r="T29" t="str">
        <f t="shared" si="12"/>
        <v>B</v>
      </c>
      <c r="U29" t="str">
        <f t="shared" si="13"/>
        <v>f</v>
      </c>
      <c r="V29" t="str">
        <f t="shared" si="14"/>
        <v>f</v>
      </c>
      <c r="W29" t="str">
        <f t="shared" si="15"/>
        <v>FU</v>
      </c>
      <c r="X29" t="str">
        <f t="shared" si="16"/>
        <v>T</v>
      </c>
      <c r="AA29" s="15" t="s">
        <v>61</v>
      </c>
      <c r="AB29" s="15" t="s">
        <v>58</v>
      </c>
      <c r="AC29" s="15">
        <v>25000</v>
      </c>
      <c r="AE29" t="str">
        <v>Amit</v>
      </c>
      <c r="AF29" t="str">
        <v>Sales</v>
      </c>
      <c r="AG29">
        <v>25000</v>
      </c>
    </row>
    <row r="30" spans="1:36" x14ac:dyDescent="0.3">
      <c r="A30" t="s">
        <v>9</v>
      </c>
      <c r="B30" s="16">
        <f t="shared" ref="B30:E30" si="25">B11/$E11</f>
        <v>0.66666666666666663</v>
      </c>
      <c r="C30" s="16">
        <f t="shared" si="25"/>
        <v>4.1666666666666664E-2</v>
      </c>
      <c r="D30" s="16">
        <f t="shared" si="25"/>
        <v>0.29166666666666669</v>
      </c>
      <c r="E30" s="16">
        <f t="shared" si="25"/>
        <v>1</v>
      </c>
      <c r="G30" t="s">
        <v>9</v>
      </c>
      <c r="H30" s="16">
        <f t="shared" si="18"/>
        <v>0.66666666666666663</v>
      </c>
      <c r="I30" s="16">
        <f t="shared" si="19"/>
        <v>4.1666666666666664E-2</v>
      </c>
      <c r="J30" s="16">
        <f t="shared" si="20"/>
        <v>0.29166666666666669</v>
      </c>
      <c r="K30" s="16">
        <f t="shared" si="21"/>
        <v>1</v>
      </c>
      <c r="N30" t="s">
        <v>10</v>
      </c>
      <c r="O30">
        <v>68</v>
      </c>
      <c r="P30">
        <v>69</v>
      </c>
      <c r="Q30">
        <v>62</v>
      </c>
      <c r="R30">
        <f t="shared" si="10"/>
        <v>199</v>
      </c>
      <c r="S30" t="str">
        <f t="shared" si="11"/>
        <v>p</v>
      </c>
      <c r="T30" t="str">
        <f t="shared" si="12"/>
        <v>B</v>
      </c>
      <c r="U30" t="str">
        <f t="shared" si="13"/>
        <v>t</v>
      </c>
      <c r="V30" t="str">
        <f t="shared" si="14"/>
        <v>f</v>
      </c>
      <c r="W30" t="str">
        <f t="shared" si="15"/>
        <v>FU</v>
      </c>
      <c r="X30" t="str">
        <f t="shared" si="16"/>
        <v>T</v>
      </c>
      <c r="AA30" s="15" t="s">
        <v>59</v>
      </c>
      <c r="AB30" s="15" t="s">
        <v>60</v>
      </c>
      <c r="AC30" s="15">
        <v>3000</v>
      </c>
    </row>
    <row r="31" spans="1:36" x14ac:dyDescent="0.3">
      <c r="A31" t="s">
        <v>10</v>
      </c>
      <c r="B31" s="16">
        <f t="shared" ref="B31:E31" si="26">B12/$E12</f>
        <v>0.34170854271356782</v>
      </c>
      <c r="C31" s="16">
        <f t="shared" si="26"/>
        <v>0.34673366834170855</v>
      </c>
      <c r="D31" s="16">
        <f t="shared" si="26"/>
        <v>0.31155778894472363</v>
      </c>
      <c r="E31" s="16">
        <f t="shared" si="26"/>
        <v>1</v>
      </c>
      <c r="G31" t="s">
        <v>10</v>
      </c>
      <c r="H31" s="16">
        <f t="shared" si="18"/>
        <v>0.34170854271356782</v>
      </c>
      <c r="I31" s="16">
        <f t="shared" si="19"/>
        <v>0.34673366834170855</v>
      </c>
      <c r="J31" s="16">
        <f t="shared" si="20"/>
        <v>0.31155778894472363</v>
      </c>
      <c r="K31" s="16">
        <f t="shared" si="21"/>
        <v>1</v>
      </c>
      <c r="N31" t="s">
        <v>11</v>
      </c>
      <c r="O31">
        <v>78</v>
      </c>
      <c r="P31">
        <v>86</v>
      </c>
      <c r="Q31">
        <v>11</v>
      </c>
      <c r="R31">
        <f t="shared" si="10"/>
        <v>175</v>
      </c>
      <c r="S31" t="str">
        <f t="shared" si="11"/>
        <v>p</v>
      </c>
      <c r="T31" t="str">
        <f t="shared" si="12"/>
        <v>A</v>
      </c>
      <c r="U31" t="str">
        <f t="shared" si="13"/>
        <v>t</v>
      </c>
      <c r="V31" t="str">
        <f t="shared" si="14"/>
        <v>p</v>
      </c>
      <c r="W31" t="str">
        <f t="shared" si="15"/>
        <v>FU</v>
      </c>
      <c r="X31" t="str">
        <f t="shared" si="16"/>
        <v>T</v>
      </c>
    </row>
    <row r="32" spans="1:36" x14ac:dyDescent="0.3">
      <c r="A32" t="s">
        <v>11</v>
      </c>
      <c r="B32" s="16">
        <f t="shared" ref="B32:E32" si="27">B13/$E13</f>
        <v>0.44571428571428573</v>
      </c>
      <c r="C32" s="16">
        <f t="shared" si="27"/>
        <v>0.49142857142857144</v>
      </c>
      <c r="D32" s="16">
        <f t="shared" si="27"/>
        <v>6.2857142857142861E-2</v>
      </c>
      <c r="E32" s="16">
        <f t="shared" si="27"/>
        <v>1</v>
      </c>
      <c r="G32" t="s">
        <v>11</v>
      </c>
      <c r="H32" s="16">
        <f t="shared" si="18"/>
        <v>0.44571428571428573</v>
      </c>
      <c r="I32" s="16">
        <f t="shared" si="19"/>
        <v>0.49142857142857144</v>
      </c>
      <c r="J32" s="16">
        <f t="shared" si="20"/>
        <v>6.2857142857142861E-2</v>
      </c>
      <c r="K32" s="16">
        <f t="shared" si="21"/>
        <v>1</v>
      </c>
      <c r="N32" t="s">
        <v>12</v>
      </c>
      <c r="O32">
        <v>14</v>
      </c>
      <c r="P32">
        <v>33</v>
      </c>
      <c r="Q32">
        <v>86</v>
      </c>
      <c r="R32">
        <f t="shared" si="10"/>
        <v>133</v>
      </c>
      <c r="S32" t="str">
        <f t="shared" si="11"/>
        <v xml:space="preserve"> </v>
      </c>
      <c r="T32" t="str">
        <f t="shared" si="12"/>
        <v>B</v>
      </c>
      <c r="U32" t="str">
        <f t="shared" si="13"/>
        <v>f</v>
      </c>
      <c r="V32" t="str">
        <f t="shared" si="14"/>
        <v>f</v>
      </c>
      <c r="W32" t="str">
        <f t="shared" si="15"/>
        <v>FU</v>
      </c>
      <c r="X32" t="str">
        <f t="shared" si="16"/>
        <v>F</v>
      </c>
    </row>
    <row r="33" spans="1:11" x14ac:dyDescent="0.3">
      <c r="A33" t="s">
        <v>12</v>
      </c>
      <c r="B33" s="16">
        <f t="shared" ref="B33:E33" si="28">B14/$E14</f>
        <v>0.10526315789473684</v>
      </c>
      <c r="C33" s="16">
        <f t="shared" si="28"/>
        <v>0.24812030075187969</v>
      </c>
      <c r="D33" s="16">
        <f t="shared" si="28"/>
        <v>0.64661654135338342</v>
      </c>
      <c r="E33" s="16">
        <f t="shared" si="28"/>
        <v>1</v>
      </c>
      <c r="G33" t="s">
        <v>12</v>
      </c>
      <c r="H33" s="16">
        <f t="shared" si="18"/>
        <v>0.10526315789473684</v>
      </c>
      <c r="I33" s="16">
        <f t="shared" si="19"/>
        <v>0.24812030075187969</v>
      </c>
      <c r="J33" s="16">
        <f t="shared" si="20"/>
        <v>0.64661654135338342</v>
      </c>
      <c r="K33" s="16">
        <f t="shared" si="21"/>
        <v>1</v>
      </c>
    </row>
    <row r="34" spans="1:11" x14ac:dyDescent="0.3">
      <c r="B34" s="16">
        <f t="shared" ref="B34:E34" si="29">B15/$E15</f>
        <v>0</v>
      </c>
      <c r="C34" s="16">
        <f t="shared" si="29"/>
        <v>0</v>
      </c>
      <c r="D34" s="16">
        <f t="shared" si="29"/>
        <v>0.27711738484398218</v>
      </c>
      <c r="E34" s="16">
        <f t="shared" si="29"/>
        <v>1</v>
      </c>
    </row>
    <row r="35" spans="1:11" x14ac:dyDescent="0.3">
      <c r="B35" s="16"/>
    </row>
    <row r="36" spans="1:11" x14ac:dyDescent="0.3">
      <c r="B36" s="16"/>
    </row>
  </sheetData>
  <sortState xmlns:xlrd2="http://schemas.microsoft.com/office/spreadsheetml/2017/richdata2" ref="AA24:AC29">
    <sortCondition descending="1" ref="AC24:AC29"/>
  </sortState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9124-81CE-4122-8E2F-556A897A3C16}">
  <dimension ref="A1:H44"/>
  <sheetViews>
    <sheetView topLeftCell="A2" zoomScale="70" zoomScaleNormal="70" workbookViewId="0">
      <selection activeCell="M3" sqref="M3"/>
    </sheetView>
  </sheetViews>
  <sheetFormatPr defaultRowHeight="14.4" x14ac:dyDescent="0.3"/>
  <cols>
    <col min="1" max="1" width="13.33203125" bestFit="1" customWidth="1"/>
    <col min="3" max="3" width="11.88671875" bestFit="1" customWidth="1"/>
    <col min="6" max="6" width="10.5546875" bestFit="1" customWidth="1"/>
    <col min="7" max="7" width="10.44140625" bestFit="1" customWidth="1"/>
  </cols>
  <sheetData>
    <row r="1" spans="1:8" ht="18" x14ac:dyDescent="0.3">
      <c r="A1" s="5" t="s">
        <v>19</v>
      </c>
      <c r="B1" s="6" t="s">
        <v>20</v>
      </c>
      <c r="C1" s="6" t="s">
        <v>21</v>
      </c>
      <c r="D1" s="7" t="s">
        <v>22</v>
      </c>
      <c r="E1" s="8" t="s">
        <v>23</v>
      </c>
      <c r="F1" s="7" t="s">
        <v>24</v>
      </c>
      <c r="G1" s="7" t="s">
        <v>25</v>
      </c>
    </row>
    <row r="2" spans="1:8" ht="18" x14ac:dyDescent="0.3">
      <c r="A2" s="12">
        <v>46028</v>
      </c>
      <c r="B2" s="9" t="s">
        <v>26</v>
      </c>
      <c r="C2" s="9" t="s">
        <v>27</v>
      </c>
      <c r="D2" s="7" t="s">
        <v>28</v>
      </c>
      <c r="E2" s="10">
        <v>95</v>
      </c>
      <c r="F2" s="11">
        <v>1.99</v>
      </c>
      <c r="G2" s="11">
        <v>189.05</v>
      </c>
      <c r="H2" s="13">
        <f>F2+G2</f>
        <v>191.04000000000002</v>
      </c>
    </row>
    <row r="3" spans="1:8" ht="18" x14ac:dyDescent="0.3">
      <c r="A3" s="12">
        <v>46045</v>
      </c>
      <c r="B3" s="9" t="s">
        <v>29</v>
      </c>
      <c r="C3" s="9" t="s">
        <v>30</v>
      </c>
      <c r="D3" s="7" t="s">
        <v>31</v>
      </c>
      <c r="E3" s="10">
        <v>50</v>
      </c>
      <c r="F3" s="11">
        <v>19.989999999999998</v>
      </c>
      <c r="G3" s="11">
        <v>999.49999999999989</v>
      </c>
    </row>
    <row r="4" spans="1:8" ht="18" x14ac:dyDescent="0.3">
      <c r="A4" s="12">
        <v>46062</v>
      </c>
      <c r="B4" s="9" t="s">
        <v>29</v>
      </c>
      <c r="C4" s="9" t="s">
        <v>32</v>
      </c>
      <c r="D4" s="7" t="s">
        <v>28</v>
      </c>
      <c r="E4" s="10">
        <v>36</v>
      </c>
      <c r="F4" s="11">
        <v>4.99</v>
      </c>
      <c r="G4" s="11">
        <v>179.64000000000001</v>
      </c>
      <c r="H4">
        <f>SUM(E4:G4)</f>
        <v>220.63000000000002</v>
      </c>
    </row>
    <row r="5" spans="1:8" ht="18" x14ac:dyDescent="0.3">
      <c r="A5" s="12">
        <v>46079</v>
      </c>
      <c r="B5" s="9" t="s">
        <v>29</v>
      </c>
      <c r="C5" s="9" t="s">
        <v>33</v>
      </c>
      <c r="D5" s="7" t="s">
        <v>34</v>
      </c>
      <c r="E5" s="10">
        <v>27</v>
      </c>
      <c r="F5" s="11">
        <v>19.989999999999998</v>
      </c>
      <c r="G5" s="11">
        <v>539.7299999999999</v>
      </c>
    </row>
    <row r="6" spans="1:8" ht="18" x14ac:dyDescent="0.3">
      <c r="A6" s="12">
        <v>46096</v>
      </c>
      <c r="B6" s="9" t="s">
        <v>35</v>
      </c>
      <c r="C6" s="9" t="s">
        <v>36</v>
      </c>
      <c r="D6" s="7" t="s">
        <v>28</v>
      </c>
      <c r="E6" s="10">
        <v>56</v>
      </c>
      <c r="F6" s="11">
        <v>2.99</v>
      </c>
      <c r="G6" s="11">
        <v>167.44</v>
      </c>
    </row>
    <row r="7" spans="1:8" ht="18" x14ac:dyDescent="0.3">
      <c r="A7" s="12">
        <v>46113</v>
      </c>
      <c r="B7" s="9" t="s">
        <v>26</v>
      </c>
      <c r="C7" s="9" t="s">
        <v>27</v>
      </c>
      <c r="D7" s="7" t="s">
        <v>31</v>
      </c>
      <c r="E7" s="10">
        <v>60</v>
      </c>
      <c r="F7" s="11">
        <v>4.99</v>
      </c>
      <c r="G7" s="11">
        <v>299.40000000000003</v>
      </c>
    </row>
    <row r="8" spans="1:8" ht="18" x14ac:dyDescent="0.3">
      <c r="A8" s="12">
        <v>46130</v>
      </c>
      <c r="B8" s="9" t="s">
        <v>29</v>
      </c>
      <c r="C8" s="9" t="s">
        <v>37</v>
      </c>
      <c r="D8" s="7" t="s">
        <v>28</v>
      </c>
      <c r="E8" s="10">
        <v>75</v>
      </c>
      <c r="F8" s="11">
        <v>1.99</v>
      </c>
      <c r="G8" s="11">
        <v>149.25</v>
      </c>
    </row>
    <row r="9" spans="1:8" ht="18" x14ac:dyDescent="0.3">
      <c r="A9" s="12">
        <v>46147</v>
      </c>
      <c r="B9" s="9" t="s">
        <v>29</v>
      </c>
      <c r="C9" s="9" t="s">
        <v>32</v>
      </c>
      <c r="D9" s="7" t="s">
        <v>28</v>
      </c>
      <c r="E9" s="10">
        <v>90</v>
      </c>
      <c r="F9" s="11">
        <v>4.99</v>
      </c>
      <c r="G9" s="11">
        <v>449.1</v>
      </c>
    </row>
    <row r="10" spans="1:8" ht="18" x14ac:dyDescent="0.3">
      <c r="A10" s="12">
        <v>46164</v>
      </c>
      <c r="B10" s="9" t="s">
        <v>35</v>
      </c>
      <c r="C10" s="9" t="s">
        <v>38</v>
      </c>
      <c r="D10" s="7" t="s">
        <v>28</v>
      </c>
      <c r="E10" s="10">
        <v>32</v>
      </c>
      <c r="F10" s="11">
        <v>1.99</v>
      </c>
      <c r="G10" s="11">
        <v>63.68</v>
      </c>
    </row>
    <row r="11" spans="1:8" ht="18" x14ac:dyDescent="0.3">
      <c r="A11" s="12">
        <v>46181</v>
      </c>
      <c r="B11" s="9" t="s">
        <v>26</v>
      </c>
      <c r="C11" s="9" t="s">
        <v>27</v>
      </c>
      <c r="D11" s="7" t="s">
        <v>31</v>
      </c>
      <c r="E11" s="10">
        <v>60</v>
      </c>
      <c r="F11" s="11">
        <v>8.99</v>
      </c>
      <c r="G11" s="11">
        <v>539.4</v>
      </c>
    </row>
    <row r="12" spans="1:8" ht="18" x14ac:dyDescent="0.3">
      <c r="A12" s="12">
        <v>46198</v>
      </c>
      <c r="B12" s="9" t="s">
        <v>29</v>
      </c>
      <c r="C12" s="9" t="s">
        <v>39</v>
      </c>
      <c r="D12" s="7" t="s">
        <v>28</v>
      </c>
      <c r="E12" s="10">
        <v>90</v>
      </c>
      <c r="F12" s="11">
        <v>4.99</v>
      </c>
      <c r="G12" s="11">
        <v>449.1</v>
      </c>
    </row>
    <row r="13" spans="1:8" ht="18" x14ac:dyDescent="0.3">
      <c r="A13" s="12">
        <v>46215</v>
      </c>
      <c r="B13" s="9" t="s">
        <v>26</v>
      </c>
      <c r="C13" s="9" t="s">
        <v>40</v>
      </c>
      <c r="D13" s="7" t="s">
        <v>31</v>
      </c>
      <c r="E13" s="10">
        <v>29</v>
      </c>
      <c r="F13" s="11">
        <v>1.99</v>
      </c>
      <c r="G13" s="11">
        <v>57.71</v>
      </c>
    </row>
    <row r="14" spans="1:8" ht="18" x14ac:dyDescent="0.3">
      <c r="A14" s="12">
        <v>46232</v>
      </c>
      <c r="B14" s="9" t="s">
        <v>26</v>
      </c>
      <c r="C14" s="9" t="s">
        <v>41</v>
      </c>
      <c r="D14" s="7" t="s">
        <v>31</v>
      </c>
      <c r="E14" s="10">
        <v>81</v>
      </c>
      <c r="F14" s="11">
        <v>19.989999999999998</v>
      </c>
      <c r="G14" s="11">
        <v>1619.1899999999998</v>
      </c>
    </row>
    <row r="15" spans="1:8" ht="18" x14ac:dyDescent="0.3">
      <c r="A15" s="12">
        <v>46249</v>
      </c>
      <c r="B15" s="9" t="s">
        <v>26</v>
      </c>
      <c r="C15" s="9" t="s">
        <v>27</v>
      </c>
      <c r="D15" s="7" t="s">
        <v>28</v>
      </c>
      <c r="E15" s="10">
        <v>35</v>
      </c>
      <c r="F15" s="11">
        <v>4.99</v>
      </c>
      <c r="G15" s="11">
        <v>174.65</v>
      </c>
    </row>
    <row r="16" spans="1:8" ht="18" x14ac:dyDescent="0.3">
      <c r="A16" s="12">
        <v>46266</v>
      </c>
      <c r="B16" s="9" t="s">
        <v>29</v>
      </c>
      <c r="C16" s="9" t="s">
        <v>42</v>
      </c>
      <c r="D16" s="7" t="s">
        <v>43</v>
      </c>
      <c r="E16" s="10">
        <v>2</v>
      </c>
      <c r="F16" s="11">
        <v>125</v>
      </c>
      <c r="G16" s="11">
        <v>250</v>
      </c>
    </row>
    <row r="17" spans="1:7" ht="18" x14ac:dyDescent="0.3">
      <c r="A17" s="12">
        <v>46283</v>
      </c>
      <c r="B17" s="9" t="s">
        <v>26</v>
      </c>
      <c r="C17" s="9" t="s">
        <v>27</v>
      </c>
      <c r="D17" s="7" t="s">
        <v>44</v>
      </c>
      <c r="E17" s="10">
        <v>16</v>
      </c>
      <c r="F17" s="11">
        <v>15.99</v>
      </c>
      <c r="G17" s="11">
        <v>255.84</v>
      </c>
    </row>
    <row r="18" spans="1:7" ht="18" x14ac:dyDescent="0.3">
      <c r="A18" s="12">
        <v>46300</v>
      </c>
      <c r="B18" s="9" t="s">
        <v>29</v>
      </c>
      <c r="C18" s="9" t="s">
        <v>39</v>
      </c>
      <c r="D18" s="7" t="s">
        <v>31</v>
      </c>
      <c r="E18" s="10">
        <v>28</v>
      </c>
      <c r="F18" s="11">
        <v>8.99</v>
      </c>
      <c r="G18" s="11">
        <v>251.72</v>
      </c>
    </row>
    <row r="19" spans="1:7" ht="18" x14ac:dyDescent="0.3">
      <c r="A19" s="12">
        <v>46317</v>
      </c>
      <c r="B19" s="9" t="s">
        <v>26</v>
      </c>
      <c r="C19" s="9" t="s">
        <v>27</v>
      </c>
      <c r="D19" s="7" t="s">
        <v>34</v>
      </c>
      <c r="E19" s="10">
        <v>64</v>
      </c>
      <c r="F19" s="11">
        <v>8.99</v>
      </c>
      <c r="G19" s="11">
        <v>575.36</v>
      </c>
    </row>
    <row r="20" spans="1:7" ht="18" x14ac:dyDescent="0.3">
      <c r="A20" s="12">
        <v>46334</v>
      </c>
      <c r="B20" s="9" t="s">
        <v>26</v>
      </c>
      <c r="C20" s="9" t="s">
        <v>41</v>
      </c>
      <c r="D20" s="7" t="s">
        <v>34</v>
      </c>
      <c r="E20" s="10">
        <v>15</v>
      </c>
      <c r="F20" s="11">
        <v>19.989999999999998</v>
      </c>
      <c r="G20" s="11">
        <v>299.84999999999997</v>
      </c>
    </row>
    <row r="21" spans="1:7" ht="18" x14ac:dyDescent="0.3">
      <c r="A21" s="12">
        <v>46351</v>
      </c>
      <c r="B21" s="9" t="s">
        <v>29</v>
      </c>
      <c r="C21" s="9" t="s">
        <v>30</v>
      </c>
      <c r="D21" s="7" t="s">
        <v>44</v>
      </c>
      <c r="E21" s="10">
        <v>96</v>
      </c>
      <c r="F21" s="11">
        <v>4.99</v>
      </c>
      <c r="G21" s="11">
        <v>479.04</v>
      </c>
    </row>
    <row r="22" spans="1:7" ht="18" x14ac:dyDescent="0.3">
      <c r="A22" s="12">
        <v>46368</v>
      </c>
      <c r="B22" s="9" t="s">
        <v>29</v>
      </c>
      <c r="C22" s="9" t="s">
        <v>42</v>
      </c>
      <c r="D22" s="7" t="s">
        <v>28</v>
      </c>
      <c r="E22" s="10">
        <v>67</v>
      </c>
      <c r="F22" s="11">
        <v>1.29</v>
      </c>
      <c r="G22" s="11">
        <v>86.43</v>
      </c>
    </row>
    <row r="23" spans="1:7" ht="18" x14ac:dyDescent="0.3">
      <c r="A23" s="12">
        <v>46385</v>
      </c>
      <c r="B23" s="9" t="s">
        <v>26</v>
      </c>
      <c r="C23" s="9" t="s">
        <v>41</v>
      </c>
      <c r="D23" s="7" t="s">
        <v>44</v>
      </c>
      <c r="E23" s="10">
        <v>74</v>
      </c>
      <c r="F23" s="11">
        <v>15.99</v>
      </c>
      <c r="G23" s="11">
        <v>1183.26</v>
      </c>
    </row>
    <row r="24" spans="1:7" ht="18" x14ac:dyDescent="0.3">
      <c r="A24" s="12">
        <v>46402</v>
      </c>
      <c r="B24" s="9" t="s">
        <v>29</v>
      </c>
      <c r="C24" s="9" t="s">
        <v>33</v>
      </c>
      <c r="D24" s="7" t="s">
        <v>31</v>
      </c>
      <c r="E24" s="10">
        <v>46</v>
      </c>
      <c r="F24" s="11">
        <v>8.99</v>
      </c>
      <c r="G24" s="11">
        <v>413.54</v>
      </c>
    </row>
    <row r="25" spans="1:7" ht="18" x14ac:dyDescent="0.3">
      <c r="A25" s="12">
        <v>46419</v>
      </c>
      <c r="B25" s="9" t="s">
        <v>29</v>
      </c>
      <c r="C25" s="9" t="s">
        <v>42</v>
      </c>
      <c r="D25" s="7" t="s">
        <v>31</v>
      </c>
      <c r="E25" s="10">
        <v>87</v>
      </c>
      <c r="F25" s="11">
        <v>15</v>
      </c>
      <c r="G25" s="11">
        <v>1305</v>
      </c>
    </row>
    <row r="26" spans="1:7" ht="18" x14ac:dyDescent="0.3">
      <c r="A26" s="12">
        <v>46436</v>
      </c>
      <c r="B26" s="9" t="s">
        <v>26</v>
      </c>
      <c r="C26" s="9" t="s">
        <v>27</v>
      </c>
      <c r="D26" s="7" t="s">
        <v>31</v>
      </c>
      <c r="E26" s="10">
        <v>4</v>
      </c>
      <c r="F26" s="11">
        <v>4.99</v>
      </c>
      <c r="G26" s="11">
        <v>19.96</v>
      </c>
    </row>
    <row r="27" spans="1:7" ht="18" x14ac:dyDescent="0.3">
      <c r="A27" s="12">
        <v>46453</v>
      </c>
      <c r="B27" s="9" t="s">
        <v>35</v>
      </c>
      <c r="C27" s="9" t="s">
        <v>36</v>
      </c>
      <c r="D27" s="7" t="s">
        <v>31</v>
      </c>
      <c r="E27" s="10">
        <v>7</v>
      </c>
      <c r="F27" s="11">
        <v>19.989999999999998</v>
      </c>
      <c r="G27" s="11">
        <v>139.92999999999998</v>
      </c>
    </row>
    <row r="28" spans="1:7" ht="18" x14ac:dyDescent="0.3">
      <c r="A28" s="12">
        <v>46470</v>
      </c>
      <c r="B28" s="9" t="s">
        <v>29</v>
      </c>
      <c r="C28" s="9" t="s">
        <v>32</v>
      </c>
      <c r="D28" s="7" t="s">
        <v>44</v>
      </c>
      <c r="E28" s="10">
        <v>50</v>
      </c>
      <c r="F28" s="11">
        <v>4.99</v>
      </c>
      <c r="G28" s="11">
        <v>249.5</v>
      </c>
    </row>
    <row r="29" spans="1:7" ht="18" x14ac:dyDescent="0.3">
      <c r="A29" s="12">
        <v>46487</v>
      </c>
      <c r="B29" s="9" t="s">
        <v>29</v>
      </c>
      <c r="C29" s="9" t="s">
        <v>37</v>
      </c>
      <c r="D29" s="7" t="s">
        <v>28</v>
      </c>
      <c r="E29" s="10">
        <v>66</v>
      </c>
      <c r="F29" s="11">
        <v>1.99</v>
      </c>
      <c r="G29" s="11">
        <v>131.34</v>
      </c>
    </row>
    <row r="30" spans="1:7" ht="18" x14ac:dyDescent="0.3">
      <c r="A30" s="12">
        <v>46504</v>
      </c>
      <c r="B30" s="9" t="s">
        <v>26</v>
      </c>
      <c r="C30" s="9" t="s">
        <v>40</v>
      </c>
      <c r="D30" s="7" t="s">
        <v>34</v>
      </c>
      <c r="E30" s="10">
        <v>96</v>
      </c>
      <c r="F30" s="11">
        <v>4.99</v>
      </c>
      <c r="G30" s="11">
        <v>479.04</v>
      </c>
    </row>
    <row r="31" spans="1:7" ht="18" x14ac:dyDescent="0.3">
      <c r="A31" s="12">
        <v>46521</v>
      </c>
      <c r="B31" s="9" t="s">
        <v>29</v>
      </c>
      <c r="C31" s="9" t="s">
        <v>33</v>
      </c>
      <c r="D31" s="7" t="s">
        <v>28</v>
      </c>
      <c r="E31" s="10">
        <v>53</v>
      </c>
      <c r="F31" s="11">
        <v>1.29</v>
      </c>
      <c r="G31" s="11">
        <v>68.37</v>
      </c>
    </row>
    <row r="32" spans="1:7" ht="18" x14ac:dyDescent="0.3">
      <c r="A32" s="12">
        <v>46538</v>
      </c>
      <c r="B32" s="9" t="s">
        <v>29</v>
      </c>
      <c r="C32" s="9" t="s">
        <v>33</v>
      </c>
      <c r="D32" s="7" t="s">
        <v>31</v>
      </c>
      <c r="E32" s="10">
        <v>80</v>
      </c>
      <c r="F32" s="11">
        <v>8.99</v>
      </c>
      <c r="G32" s="11">
        <v>719.2</v>
      </c>
    </row>
    <row r="33" spans="1:7" ht="18" x14ac:dyDescent="0.3">
      <c r="A33" s="12">
        <v>46555</v>
      </c>
      <c r="B33" s="9" t="s">
        <v>29</v>
      </c>
      <c r="C33" s="9" t="s">
        <v>30</v>
      </c>
      <c r="D33" s="7" t="s">
        <v>43</v>
      </c>
      <c r="E33" s="10">
        <v>5</v>
      </c>
      <c r="F33" s="11">
        <v>125</v>
      </c>
      <c r="G33" s="11">
        <v>625</v>
      </c>
    </row>
    <row r="34" spans="1:7" ht="18" x14ac:dyDescent="0.3">
      <c r="A34" s="12">
        <v>46572</v>
      </c>
      <c r="B34" s="9" t="s">
        <v>26</v>
      </c>
      <c r="C34" s="9" t="s">
        <v>27</v>
      </c>
      <c r="D34" s="7" t="s">
        <v>44</v>
      </c>
      <c r="E34" s="10">
        <v>62</v>
      </c>
      <c r="F34" s="11">
        <v>4.99</v>
      </c>
      <c r="G34" s="11">
        <v>309.38</v>
      </c>
    </row>
    <row r="35" spans="1:7" ht="18" x14ac:dyDescent="0.3">
      <c r="A35" s="12">
        <v>46589</v>
      </c>
      <c r="B35" s="9" t="s">
        <v>29</v>
      </c>
      <c r="C35" s="9" t="s">
        <v>39</v>
      </c>
      <c r="D35" s="7" t="s">
        <v>44</v>
      </c>
      <c r="E35" s="10">
        <v>55</v>
      </c>
      <c r="F35" s="11">
        <v>12.49</v>
      </c>
      <c r="G35" s="11">
        <v>686.95</v>
      </c>
    </row>
    <row r="36" spans="1:7" ht="18" x14ac:dyDescent="0.3">
      <c r="A36" s="12">
        <v>46606</v>
      </c>
      <c r="B36" s="9" t="s">
        <v>29</v>
      </c>
      <c r="C36" s="9" t="s">
        <v>30</v>
      </c>
      <c r="D36" s="7" t="s">
        <v>44</v>
      </c>
      <c r="E36" s="10">
        <v>42</v>
      </c>
      <c r="F36" s="11">
        <v>23.95</v>
      </c>
      <c r="G36" s="11">
        <v>1005.9</v>
      </c>
    </row>
    <row r="37" spans="1:7" ht="18" x14ac:dyDescent="0.3">
      <c r="A37" s="12">
        <v>46623</v>
      </c>
      <c r="B37" s="9" t="s">
        <v>35</v>
      </c>
      <c r="C37" s="9" t="s">
        <v>36</v>
      </c>
      <c r="D37" s="7" t="s">
        <v>43</v>
      </c>
      <c r="E37" s="10">
        <v>3</v>
      </c>
      <c r="F37" s="11">
        <v>275</v>
      </c>
      <c r="G37" s="11">
        <v>825</v>
      </c>
    </row>
    <row r="38" spans="1:7" ht="18" x14ac:dyDescent="0.3">
      <c r="A38" s="12">
        <v>46640</v>
      </c>
      <c r="B38" s="9" t="s">
        <v>29</v>
      </c>
      <c r="C38" s="9" t="s">
        <v>33</v>
      </c>
      <c r="D38" s="7" t="s">
        <v>28</v>
      </c>
      <c r="E38" s="10">
        <v>7</v>
      </c>
      <c r="F38" s="11">
        <v>1.29</v>
      </c>
      <c r="G38" s="11">
        <v>9.0300000000000011</v>
      </c>
    </row>
    <row r="39" spans="1:7" ht="18" x14ac:dyDescent="0.3">
      <c r="A39" s="12">
        <v>46657</v>
      </c>
      <c r="B39" s="9" t="s">
        <v>35</v>
      </c>
      <c r="C39" s="9" t="s">
        <v>36</v>
      </c>
      <c r="D39" s="7" t="s">
        <v>34</v>
      </c>
      <c r="E39" s="10">
        <v>76</v>
      </c>
      <c r="F39" s="11">
        <v>1.99</v>
      </c>
      <c r="G39" s="11">
        <v>151.24</v>
      </c>
    </row>
    <row r="40" spans="1:7" ht="18" x14ac:dyDescent="0.3">
      <c r="A40" s="12">
        <v>46674</v>
      </c>
      <c r="B40" s="9" t="s">
        <v>35</v>
      </c>
      <c r="C40" s="9" t="s">
        <v>38</v>
      </c>
      <c r="D40" s="7" t="s">
        <v>31</v>
      </c>
      <c r="E40" s="10">
        <v>57</v>
      </c>
      <c r="F40" s="11">
        <v>19.989999999999998</v>
      </c>
      <c r="G40" s="11">
        <v>1139.4299999999998</v>
      </c>
    </row>
    <row r="41" spans="1:7" ht="18" x14ac:dyDescent="0.3">
      <c r="A41" s="12">
        <v>46691</v>
      </c>
      <c r="B41" s="9" t="s">
        <v>29</v>
      </c>
      <c r="C41" s="9" t="s">
        <v>37</v>
      </c>
      <c r="D41" s="7" t="s">
        <v>28</v>
      </c>
      <c r="E41" s="10">
        <v>14</v>
      </c>
      <c r="F41" s="11">
        <v>1.29</v>
      </c>
      <c r="G41" s="11">
        <v>18.060000000000002</v>
      </c>
    </row>
    <row r="42" spans="1:7" ht="18" x14ac:dyDescent="0.3">
      <c r="A42" s="12">
        <v>46708</v>
      </c>
      <c r="B42" s="9" t="s">
        <v>29</v>
      </c>
      <c r="C42" s="9" t="s">
        <v>32</v>
      </c>
      <c r="D42" s="7" t="s">
        <v>31</v>
      </c>
      <c r="E42" s="10">
        <v>11</v>
      </c>
      <c r="F42" s="11">
        <v>4.99</v>
      </c>
      <c r="G42" s="11">
        <v>54.89</v>
      </c>
    </row>
    <row r="43" spans="1:7" ht="18" x14ac:dyDescent="0.3">
      <c r="A43" s="12">
        <v>46725</v>
      </c>
      <c r="B43" s="9" t="s">
        <v>29</v>
      </c>
      <c r="C43" s="9" t="s">
        <v>32</v>
      </c>
      <c r="D43" s="7" t="s">
        <v>31</v>
      </c>
      <c r="E43" s="10">
        <v>94</v>
      </c>
      <c r="F43" s="11">
        <v>19.989999999999998</v>
      </c>
      <c r="G43" s="11">
        <v>1879.06</v>
      </c>
    </row>
    <row r="44" spans="1:7" ht="18" x14ac:dyDescent="0.3">
      <c r="A44" s="12">
        <v>46742</v>
      </c>
      <c r="B44" s="9" t="s">
        <v>29</v>
      </c>
      <c r="C44" s="9" t="s">
        <v>37</v>
      </c>
      <c r="D44" s="7" t="s">
        <v>31</v>
      </c>
      <c r="E44" s="10">
        <v>28</v>
      </c>
      <c r="F44" s="11">
        <v>4.99</v>
      </c>
      <c r="G44" s="11">
        <v>139.72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51DBE8-6A5A-4DF5-8BD0-B86F94E11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ajsonu331@gmail.com</cp:lastModifiedBy>
  <dcterms:created xsi:type="dcterms:W3CDTF">2026-09-02T12:48:02Z</dcterms:created>
  <dcterms:modified xsi:type="dcterms:W3CDTF">2026-09-07T15:58:23Z</dcterms:modified>
</cp:coreProperties>
</file>