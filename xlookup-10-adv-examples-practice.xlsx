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iket\OneDrive\Desktop\DA\"/>
    </mc:Choice>
  </mc:AlternateContent>
  <xr:revisionPtr revIDLastSave="0" documentId="13_ncr:1_{D84D980F-AD58-4EF0-915B-A5B73A16390B}" xr6:coauthVersionLast="47" xr6:coauthVersionMax="47" xr10:uidLastSave="{00000000-0000-0000-0000-000000000000}"/>
  <bookViews>
    <workbookView xWindow="-108" yWindow="-108" windowWidth="23256" windowHeight="12456" xr2:uid="{26D4546B-D2A1-4444-8EAF-A6228F96F0C1}"/>
  </bookViews>
  <sheets>
    <sheet name="10 XLOOKUP" sheetId="1" r:id="rId1"/>
  </sheets>
  <definedNames>
    <definedName name="_xlnm._FilterDatabase" localSheetId="0" hidden="1">'10 XLOOKUP'!$M$4:$T$39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1" i="1" l="1" a="1"/>
  <c r="E111" i="1" s="1"/>
  <c r="G92" i="1" a="1"/>
  <c r="G92" i="1" s="1"/>
  <c r="E81" i="1" a="1"/>
  <c r="E81" i="1" s="1"/>
  <c r="C85" i="1" a="1"/>
  <c r="C85" i="1"/>
  <c r="E71" i="1" a="1"/>
  <c r="E71" i="1" s="1"/>
  <c r="D60" i="1"/>
  <c r="E41" i="1"/>
  <c r="E40" i="1"/>
  <c r="D4" i="1"/>
  <c r="C72" i="1" a="1"/>
  <c r="C72" i="1" s="1"/>
  <c r="D134" i="1" a="1"/>
  <c r="D134" i="1" s="1"/>
  <c r="D48" i="1" a="1"/>
  <c r="D48" i="1" s="1"/>
  <c r="D128" i="1" a="1"/>
  <c r="D128" i="1" s="1"/>
  <c r="C112" i="1" a="1"/>
  <c r="C112" i="1" s="1"/>
  <c r="C94" i="1" a="1"/>
  <c r="C94" i="1" s="1"/>
  <c r="D59" i="1"/>
  <c r="D41" i="1"/>
  <c r="D40" i="1"/>
  <c r="C23" i="1" a="1"/>
  <c r="C23" i="1" s="1"/>
  <c r="C17" i="1" a="1"/>
  <c r="C17" i="1" s="1"/>
  <c r="D8" i="1"/>
  <c r="D350" i="1" a="1"/>
  <c r="D350" i="1" s="1"/>
  <c r="D344" i="1" a="1"/>
  <c r="D344" i="1" s="1"/>
  <c r="C328" i="1" a="1"/>
  <c r="C328" i="1" s="1"/>
  <c r="E310" i="1" a="1"/>
  <c r="E310" i="1" s="1"/>
  <c r="C310" i="1" a="1"/>
  <c r="C310" i="1" s="1"/>
  <c r="C301" i="1" a="1"/>
  <c r="C301" i="1" s="1"/>
  <c r="C288" i="1" a="1"/>
  <c r="C288" i="1" s="1"/>
  <c r="D275" i="1"/>
  <c r="D264" i="1" a="1"/>
  <c r="D264" i="1" s="1"/>
  <c r="D257" i="1"/>
  <c r="D256" i="1"/>
  <c r="C239" i="1" a="1"/>
  <c r="C239" i="1" s="1"/>
  <c r="C233" i="1" a="1"/>
  <c r="C233" i="1" s="1"/>
  <c r="D22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<sst xmlns="http://schemas.openxmlformats.org/spreadsheetml/2006/main" count="291" uniqueCount="134">
  <si>
    <t>Name</t>
  </si>
  <si>
    <t>Emp ID</t>
  </si>
  <si>
    <t>Gender</t>
  </si>
  <si>
    <t>Education Qualification</t>
  </si>
  <si>
    <t>Date of Join</t>
  </si>
  <si>
    <t>Job Title</t>
  </si>
  <si>
    <t>Salary</t>
  </si>
  <si>
    <t>Age</t>
  </si>
  <si>
    <t>AC0001</t>
  </si>
  <si>
    <t>Male</t>
  </si>
  <si>
    <t>Bachelor's Degree</t>
  </si>
  <si>
    <t>Chocolatier</t>
  </si>
  <si>
    <t>AC0002</t>
  </si>
  <si>
    <t>Female</t>
  </si>
  <si>
    <t>Diploma</t>
  </si>
  <si>
    <t>Production Operator</t>
  </si>
  <si>
    <t>AC0003</t>
  </si>
  <si>
    <t>High School Diploma</t>
  </si>
  <si>
    <t>Packaging Associate</t>
  </si>
  <si>
    <t>AC0004</t>
  </si>
  <si>
    <t>Marketing Specialist</t>
  </si>
  <si>
    <t>AC0005</t>
  </si>
  <si>
    <t>Master's Degree</t>
  </si>
  <si>
    <t>Research Scientist</t>
  </si>
  <si>
    <t>AC0006</t>
  </si>
  <si>
    <t>Sales Representative</t>
  </si>
  <si>
    <t>AC0007</t>
  </si>
  <si>
    <t>AC0008</t>
  </si>
  <si>
    <t>Quality Control</t>
  </si>
  <si>
    <t>AC0009</t>
  </si>
  <si>
    <t>Research Analyst</t>
  </si>
  <si>
    <t>AC0010</t>
  </si>
  <si>
    <t>Product Manager</t>
  </si>
  <si>
    <t>AC0011</t>
  </si>
  <si>
    <t>AC0012</t>
  </si>
  <si>
    <t>AC0013</t>
  </si>
  <si>
    <t>AC0014</t>
  </si>
  <si>
    <t>Marketing Manager</t>
  </si>
  <si>
    <t>AC0015</t>
  </si>
  <si>
    <t>AC0016</t>
  </si>
  <si>
    <t>AC0017</t>
  </si>
  <si>
    <t>AC0018</t>
  </si>
  <si>
    <t>AC0019</t>
  </si>
  <si>
    <t>AC0020</t>
  </si>
  <si>
    <t>AC0021</t>
  </si>
  <si>
    <t>AC0022</t>
  </si>
  <si>
    <t>AC0023</t>
  </si>
  <si>
    <t>AC0024</t>
  </si>
  <si>
    <t>AC0025</t>
  </si>
  <si>
    <t>AC0026</t>
  </si>
  <si>
    <t>AC0027</t>
  </si>
  <si>
    <t>AC0028</t>
  </si>
  <si>
    <t>AC0029</t>
  </si>
  <si>
    <t>AC0030</t>
  </si>
  <si>
    <t>AC0031</t>
  </si>
  <si>
    <t>AC0032</t>
  </si>
  <si>
    <t>AC0033</t>
  </si>
  <si>
    <t>AC0034</t>
  </si>
  <si>
    <t>AC0035</t>
  </si>
  <si>
    <t>Barank Obama</t>
  </si>
  <si>
    <t>Large Bush</t>
  </si>
  <si>
    <t>Fill Clinton</t>
  </si>
  <si>
    <t>Donald Roundup</t>
  </si>
  <si>
    <t>Now Biden</t>
  </si>
  <si>
    <t>ROWland Reagan</t>
  </si>
  <si>
    <t>Jimmy Charter</t>
  </si>
  <si>
    <t>Gerald Find</t>
  </si>
  <si>
    <t>Richard Function</t>
  </si>
  <si>
    <t>Abraham LinColumn</t>
  </si>
  <si>
    <t>Harry S TRUEman</t>
  </si>
  <si>
    <t>John IF Kennedy</t>
  </si>
  <si>
    <t>Wood ROW Wilson</t>
  </si>
  <si>
    <t>Franklin D Choosevelt</t>
  </si>
  <si>
    <t>Ulysses S. GrandTotal</t>
  </si>
  <si>
    <t>Dwight D. EisenLower</t>
  </si>
  <si>
    <t>Exact Hoover</t>
  </si>
  <si>
    <t>Amitabh FUNCTION</t>
  </si>
  <si>
    <t>Shahrukh SCAN</t>
  </si>
  <si>
    <t>Aishwarya ROW</t>
  </si>
  <si>
    <t>Rajini COTH</t>
  </si>
  <si>
    <t>Mammo T</t>
  </si>
  <si>
    <t>Pra BASE</t>
  </si>
  <si>
    <t>ROMAN Irani</t>
  </si>
  <si>
    <t>SUM Antha</t>
  </si>
  <si>
    <t>Alia BAHTTEXT</t>
  </si>
  <si>
    <t>Kaj ALL</t>
  </si>
  <si>
    <t>ShaHIDE Kapoor</t>
  </si>
  <si>
    <t>Paresh ROWLEVEL</t>
  </si>
  <si>
    <t>Mani RatNAME</t>
  </si>
  <si>
    <t>SachIF Tendulkar</t>
  </si>
  <si>
    <t>Kapil DAY</t>
  </si>
  <si>
    <t>VishwanaTAN AnAND</t>
  </si>
  <si>
    <t>VALUE Arjun</t>
  </si>
  <si>
    <t>ViRIGHT Kohli</t>
  </si>
  <si>
    <t>Example 0</t>
  </si>
  <si>
    <t>Empl ID</t>
  </si>
  <si>
    <t>Example 1</t>
  </si>
  <si>
    <t>Get all columns</t>
  </si>
  <si>
    <t>ID</t>
  </si>
  <si>
    <t>Example 2</t>
  </si>
  <si>
    <t>Get all columns, but show vertically</t>
  </si>
  <si>
    <t>Example 3</t>
  </si>
  <si>
    <t>Begins with</t>
  </si>
  <si>
    <t>Name starts with</t>
  </si>
  <si>
    <t>Full name</t>
  </si>
  <si>
    <t>One formula to get both results</t>
  </si>
  <si>
    <t>Challenge</t>
  </si>
  <si>
    <t>harry</t>
  </si>
  <si>
    <t>Example 4</t>
  </si>
  <si>
    <t>Salary equal to or higher than…</t>
  </si>
  <si>
    <t>Two conditions</t>
  </si>
  <si>
    <t>Name of the person?</t>
  </si>
  <si>
    <t>Example 5</t>
  </si>
  <si>
    <t>Between two dates</t>
  </si>
  <si>
    <t>Example 6</t>
  </si>
  <si>
    <t>Start</t>
  </si>
  <si>
    <t>End</t>
  </si>
  <si>
    <t>Example 7</t>
  </si>
  <si>
    <t>Highest Salary</t>
  </si>
  <si>
    <t>Full Record</t>
  </si>
  <si>
    <t>Longest Serving Employee</t>
  </si>
  <si>
    <t>Example 8</t>
  </si>
  <si>
    <t>Example 9</t>
  </si>
  <si>
    <t>2nd match</t>
  </si>
  <si>
    <t>Job title</t>
  </si>
  <si>
    <t>Example 10</t>
  </si>
  <si>
    <t>all matching values</t>
  </si>
  <si>
    <t>Names</t>
  </si>
  <si>
    <t>ANSWERS</t>
  </si>
  <si>
    <t>with SORT &amp; TAKE</t>
  </si>
  <si>
    <t>Harry</t>
  </si>
  <si>
    <t xml:space="preserve"> </t>
  </si>
  <si>
    <t>female</t>
  </si>
  <si>
    <t>marketing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</si>
</sst>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&quot;$&quot;#,##0"/>
    <numFmt numFmtId="166" formatCode="d\-mmm\-yyyy"/>
    <numFmt numFmtId="170" formatCode="&quot;₹&quot;\ #,##0.00"/>
  </numFmts>
  <fonts count="4" x14ac:knownFonts="1">
    <font>
      <sz val="11"/>
      <color theme="1"/>
      <name val="Aptos Narrow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0" fontId="2" fillId="0" borderId="0" xfId="0" applyFont="1"/>
    <xf numFmtId="0" fontId="0" fillId="0" borderId="1" xfId="0" applyBorder="1"/>
    <xf numFmtId="0" fontId="0" fillId="0" borderId="2" xfId="0" applyBorder="1"/>
    <xf numFmtId="15" fontId="0" fillId="0" borderId="2" xfId="0" applyNumberFormat="1" applyBorder="1"/>
    <xf numFmtId="16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right"/>
    </xf>
    <xf numFmtId="0" fontId="2" fillId="4" borderId="7" xfId="0" applyFont="1" applyFill="1" applyBorder="1" applyAlignment="1">
      <alignment horizontal="right"/>
    </xf>
    <xf numFmtId="0" fontId="0" fillId="0" borderId="8" xfId="0" applyBorder="1"/>
    <xf numFmtId="0" fontId="0" fillId="0" borderId="9" xfId="0" applyBorder="1"/>
    <xf numFmtId="15" fontId="0" fillId="0" borderId="9" xfId="0" applyNumberFormat="1" applyBorder="1"/>
    <xf numFmtId="164" fontId="0" fillId="0" borderId="9" xfId="0" applyNumberFormat="1" applyBorder="1"/>
    <xf numFmtId="0" fontId="0" fillId="0" borderId="10" xfId="0" applyBorder="1"/>
    <xf numFmtId="0" fontId="0" fillId="5" borderId="2" xfId="0" applyFill="1" applyBorder="1"/>
    <xf numFmtId="15" fontId="0" fillId="5" borderId="2" xfId="0" applyNumberFormat="1" applyFill="1" applyBorder="1"/>
    <xf numFmtId="164" fontId="0" fillId="5" borderId="2" xfId="0" applyNumberFormat="1" applyFill="1" applyBorder="1"/>
    <xf numFmtId="15" fontId="0" fillId="0" borderId="1" xfId="0" applyNumberFormat="1" applyBorder="1" applyAlignment="1">
      <alignment horizontal="left"/>
    </xf>
    <xf numFmtId="0" fontId="0" fillId="6" borderId="1" xfId="0" applyFill="1" applyBorder="1" applyAlignment="1">
      <alignment horizontal="left"/>
    </xf>
    <xf numFmtId="15" fontId="0" fillId="6" borderId="1" xfId="0" applyNumberFormat="1" applyFill="1" applyBorder="1" applyAlignment="1">
      <alignment horizontal="left"/>
    </xf>
    <xf numFmtId="164" fontId="0" fillId="6" borderId="1" xfId="0" applyNumberFormat="1" applyFill="1" applyBorder="1" applyAlignment="1">
      <alignment horizontal="left"/>
    </xf>
    <xf numFmtId="0" fontId="0" fillId="0" borderId="11" xfId="0" applyBorder="1"/>
    <xf numFmtId="0" fontId="0" fillId="3" borderId="12" xfId="0" applyFill="1" applyBorder="1"/>
    <xf numFmtId="0" fontId="0" fillId="7" borderId="1" xfId="0" applyFill="1" applyBorder="1"/>
    <xf numFmtId="15" fontId="0" fillId="7" borderId="1" xfId="0" applyNumberFormat="1" applyFill="1" applyBorder="1" applyAlignment="1">
      <alignment horizontal="left"/>
    </xf>
    <xf numFmtId="0" fontId="0" fillId="8" borderId="12" xfId="0" applyFill="1" applyBorder="1"/>
    <xf numFmtId="165" fontId="0" fillId="8" borderId="12" xfId="0" applyNumberFormat="1" applyFill="1" applyBorder="1"/>
    <xf numFmtId="0" fontId="0" fillId="6" borderId="12" xfId="0" applyFill="1" applyBorder="1"/>
    <xf numFmtId="0" fontId="0" fillId="0" borderId="13" xfId="0" applyBorder="1"/>
    <xf numFmtId="0" fontId="0" fillId="6" borderId="14" xfId="0" applyFill="1" applyBorder="1"/>
    <xf numFmtId="166" fontId="0" fillId="8" borderId="12" xfId="0" applyNumberFormat="1" applyFill="1" applyBorder="1"/>
    <xf numFmtId="0" fontId="0" fillId="6" borderId="1" xfId="0" applyFill="1" applyBorder="1"/>
    <xf numFmtId="0" fontId="2" fillId="0" borderId="13" xfId="0" applyFont="1" applyBorder="1"/>
    <xf numFmtId="0" fontId="2" fillId="4" borderId="15" xfId="0" applyFont="1" applyFill="1" applyBorder="1"/>
    <xf numFmtId="0" fontId="0" fillId="4" borderId="15" xfId="0" applyFill="1" applyBorder="1"/>
    <xf numFmtId="14" fontId="0" fillId="0" borderId="0" xfId="0" applyNumberFormat="1"/>
    <xf numFmtId="170" fontId="0" fillId="0" borderId="0" xfId="0" applyNumberFormat="1"/>
    <xf numFmtId="170" fontId="0" fillId="3" borderId="0" xfId="0" applyNumberFormat="1" applyFill="1"/>
    <xf numFmtId="170" fontId="0" fillId="5" borderId="2" xfId="0" applyNumberFormat="1" applyFill="1" applyBorder="1"/>
    <xf numFmtId="170" fontId="3" fillId="0" borderId="0" xfId="0" applyNumberFormat="1" applyFont="1"/>
    <xf numFmtId="170" fontId="2" fillId="0" borderId="13" xfId="0" applyNumberFormat="1" applyFont="1" applyBorder="1"/>
    <xf numFmtId="170" fontId="0" fillId="6" borderId="1" xfId="0" applyNumberFormat="1" applyFill="1" applyBorder="1"/>
    <xf numFmtId="170" fontId="0" fillId="6" borderId="1" xfId="0" applyNumberFormat="1" applyFill="1" applyBorder="1" applyAlignment="1">
      <alignment horizontal="left"/>
    </xf>
    <xf numFmtId="170" fontId="0" fillId="4" borderId="15" xfId="0" applyNumberFormat="1" applyFill="1" applyBorder="1"/>
  </cellXfs>
  <cellStyles count="1">
    <cellStyle name="Normal" xfId="0" builtinId="0"/>
  </cellStyles>
  <dxfs count="12">
    <dxf>
      <border diagonalUp="0" diagonalDown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164" formatCode="&quot;$&quot;#,##0_);[Red]\(&quot;$&quot;#,##0\)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167" formatCode="d\-mmm\-yy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 diagonalUp="0" diagonalDown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 outline="0">
        <top style="thin">
          <color theme="0" tint="-0.24994659260841701"/>
        </top>
      </border>
    </dxf>
    <dxf>
      <border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 outline="0">
        <bottom style="thin">
          <color theme="0" tint="-0.2499465926084170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10353</xdr:colOff>
      <xdr:row>0</xdr:row>
      <xdr:rowOff>99389</xdr:rowOff>
    </xdr:from>
    <xdr:to>
      <xdr:col>12</xdr:col>
      <xdr:colOff>1341783</xdr:colOff>
      <xdr:row>0</xdr:row>
      <xdr:rowOff>525541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F0C86-81F4-8FF2-79D4-1A937B09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8918" y="99389"/>
          <a:ext cx="1497081" cy="426152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0</xdr:rowOff>
    </xdr:from>
    <xdr:ext cx="4712805" cy="67089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CF69F9-263E-B245-261A-4176BDE7E241}"/>
            </a:ext>
          </a:extLst>
        </xdr:cNvPr>
        <xdr:cNvSpPr txBox="1"/>
      </xdr:nvSpPr>
      <xdr:spPr>
        <a:xfrm>
          <a:off x="124239" y="0"/>
          <a:ext cx="4712805" cy="6708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400">
              <a:solidFill>
                <a:schemeClr val="accent1"/>
              </a:solidFill>
              <a:latin typeface="Aptos Light" panose="020B0004020202020204" pitchFamily="34" charset="0"/>
            </a:rPr>
            <a:t>XLOOKUP:</a:t>
          </a:r>
          <a:r>
            <a:rPr lang="en-US" sz="2400" baseline="0">
              <a:solidFill>
                <a:schemeClr val="accent1"/>
              </a:solidFill>
              <a:latin typeface="Aptos Light" panose="020B0004020202020204" pitchFamily="34" charset="0"/>
            </a:rPr>
            <a:t> </a:t>
          </a:r>
          <a:r>
            <a:rPr lang="en-US" sz="2400">
              <a:solidFill>
                <a:schemeClr val="accent1"/>
              </a:solidFill>
              <a:latin typeface="Aptos ExtraBold" panose="020B0004020202020204" pitchFamily="34" charset="0"/>
            </a:rPr>
            <a:t>10 Advanced</a:t>
          </a:r>
          <a:r>
            <a:rPr lang="en-US" sz="2400" baseline="0">
              <a:solidFill>
                <a:schemeClr val="accent1"/>
              </a:solidFill>
              <a:latin typeface="Aptos ExtraBold" panose="020B0004020202020204" pitchFamily="34" charset="0"/>
            </a:rPr>
            <a:t> Tricks</a:t>
          </a:r>
          <a:endParaRPr lang="en-US" sz="2400">
            <a:solidFill>
              <a:schemeClr val="accent1"/>
            </a:solidFill>
            <a:latin typeface="Aptos ExtraBold" panose="020B0004020202020204" pitchFamily="34" charset="0"/>
          </a:endParaRPr>
        </a:p>
      </xdr:txBody>
    </xdr:sp>
    <xdr:clientData/>
  </xdr:oneCellAnchor>
  <xdr:twoCellAnchor>
    <xdr:from>
      <xdr:col>6</xdr:col>
      <xdr:colOff>0</xdr:colOff>
      <xdr:row>4</xdr:row>
      <xdr:rowOff>190499</xdr:rowOff>
    </xdr:from>
    <xdr:to>
      <xdr:col>10</xdr:col>
      <xdr:colOff>0</xdr:colOff>
      <xdr:row>9</xdr:row>
      <xdr:rowOff>115956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C80CA7F-85B7-B597-C10A-2C1E1AAC6428}"/>
            </a:ext>
          </a:extLst>
        </xdr:cNvPr>
        <xdr:cNvSpPr/>
      </xdr:nvSpPr>
      <xdr:spPr>
        <a:xfrm>
          <a:off x="4091609" y="1432890"/>
          <a:ext cx="2534478" cy="877957"/>
        </a:xfrm>
        <a:prstGeom prst="roundRect">
          <a:avLst>
            <a:gd name="adj" fmla="val 18116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NZ" sz="1800">
              <a:solidFill>
                <a:schemeClr val="tx1">
                  <a:lumMod val="85000"/>
                  <a:lumOff val="15000"/>
                </a:schemeClr>
              </a:solidFill>
            </a:rPr>
            <a:t>👈 </a:t>
          </a:r>
          <a:r>
            <a:rPr lang="en-US" sz="1800">
              <a:solidFill>
                <a:schemeClr val="tx1">
                  <a:lumMod val="85000"/>
                  <a:lumOff val="15000"/>
                </a:schemeClr>
              </a:solidFill>
            </a:rPr>
            <a:t>Use this to practice</a:t>
          </a:r>
        </a:p>
        <a:p>
          <a:pPr algn="ctr"/>
          <a:endParaRPr lang="en-NZ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NZ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👇  </a:t>
          </a:r>
          <a:r>
            <a:rPr lang="en-US" sz="1100">
              <a:solidFill>
                <a:schemeClr val="tx1">
                  <a:lumMod val="65000"/>
                  <a:lumOff val="35000"/>
                </a:schemeClr>
              </a:solidFill>
            </a:rPr>
            <a:t>Scroll</a:t>
          </a:r>
          <a:r>
            <a:rPr lang="en-US" sz="1100" baseline="0">
              <a:solidFill>
                <a:schemeClr val="tx1">
                  <a:lumMod val="65000"/>
                  <a:lumOff val="35000"/>
                </a:schemeClr>
              </a:solidFill>
            </a:rPr>
            <a:t> down to see the solutions</a:t>
          </a:r>
          <a:endParaRPr lang="en-US" sz="11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4</v>
    <v>1</v>
  </rv>
  <rv s="1">
    <fb t="e">#NAME?</fb>
    <v>4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FB7C14-BA7F-4CD8-A3DD-480E0661EA91}" name="staff" displayName="staff" ref="M4:T39" totalsRowShown="0" headerRowDxfId="11" headerRowBorderDxfId="10" tableBorderDxfId="9" totalsRowBorderDxfId="8">
  <tableColumns count="8">
    <tableColumn id="1" xr3:uid="{FCA50C6E-E03A-4A3E-835F-F1BC5FBC9AC3}" name="Name" dataDxfId="7"/>
    <tableColumn id="2" xr3:uid="{23C35D85-CE22-4901-A8F3-A0C0DFA2997F}" name="Emp ID" dataDxfId="6"/>
    <tableColumn id="3" xr3:uid="{378D3827-17AA-4537-B7E9-19A8158CDFE9}" name="Gender" dataDxfId="5"/>
    <tableColumn id="4" xr3:uid="{1D6F7DDF-672D-4A46-AB1A-985A049136DA}" name="Education Qualification" dataDxfId="4"/>
    <tableColumn id="5" xr3:uid="{DB56ACA7-C75A-42BE-985D-156B821E7610}" name="Date of Join" dataDxfId="3"/>
    <tableColumn id="6" xr3:uid="{253A696B-5EF9-43FD-ADD8-487DD134B9B7}" name="Job Title" dataDxfId="2"/>
    <tableColumn id="7" xr3:uid="{6125ABF6-6793-4011-BD15-B12C9A36AE33}" name="Salary" dataDxfId="1"/>
    <tableColumn id="8" xr3:uid="{E9C3400F-7270-4F5C-AB1D-C8A0786B190C}" name="Age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T359"/>
  <sheetViews>
    <sheetView showGridLines="0" tabSelected="1" topLeftCell="A110" zoomScale="115" zoomScaleNormal="115" workbookViewId="0">
      <selection activeCell="E121" sqref="E121"/>
    </sheetView>
  </sheetViews>
  <sheetFormatPr defaultRowHeight="14.4" x14ac:dyDescent="0.3"/>
  <cols>
    <col min="1" max="1" width="1.5546875" customWidth="1"/>
    <col min="2" max="2" width="3.5546875" customWidth="1"/>
    <col min="3" max="3" width="15.88671875" customWidth="1"/>
    <col min="4" max="4" width="20.109375" customWidth="1"/>
    <col min="5" max="5" width="16.77734375" style="42" bestFit="1" customWidth="1"/>
    <col min="6" max="6" width="10" customWidth="1"/>
    <col min="7" max="7" width="17.77734375" bestFit="1" customWidth="1"/>
    <col min="8" max="10" width="9.33203125" customWidth="1"/>
    <col min="11" max="12" width="5.6640625" customWidth="1"/>
    <col min="13" max="13" width="20.5546875" bestFit="1" customWidth="1"/>
    <col min="14" max="14" width="8.44140625" bestFit="1" customWidth="1"/>
    <col min="15" max="15" width="8.6640625" bestFit="1" customWidth="1"/>
    <col min="16" max="16" width="21.44140625" bestFit="1" customWidth="1"/>
    <col min="17" max="17" width="12" bestFit="1" customWidth="1"/>
    <col min="18" max="18" width="19.44140625" bestFit="1" customWidth="1"/>
    <col min="19" max="19" width="9" bestFit="1" customWidth="1"/>
    <col min="20" max="20" width="7.109375" customWidth="1"/>
  </cols>
  <sheetData>
    <row r="1" spans="1:20" s="2" customFormat="1" ht="52.5" customHeight="1" x14ac:dyDescent="0.3">
      <c r="A1" s="1"/>
      <c r="C1" s="3"/>
      <c r="E1" s="43"/>
    </row>
    <row r="4" spans="1:20" x14ac:dyDescent="0.3">
      <c r="C4" s="4" t="s">
        <v>94</v>
      </c>
      <c r="D4" t="str">
        <f>_xlfn.XLOOKUP(D6,staff[Emp ID],staff[Name],"1","0")</f>
        <v>Exact Hoover</v>
      </c>
      <c r="M4" s="11" t="s">
        <v>0</v>
      </c>
      <c r="N4" s="12" t="s">
        <v>1</v>
      </c>
      <c r="O4" s="12" t="s">
        <v>2</v>
      </c>
      <c r="P4" s="12" t="s">
        <v>3</v>
      </c>
      <c r="Q4" s="13" t="s">
        <v>4</v>
      </c>
      <c r="R4" s="12" t="s">
        <v>5</v>
      </c>
      <c r="S4" s="13" t="s">
        <v>6</v>
      </c>
      <c r="T4" s="14" t="s">
        <v>7</v>
      </c>
    </row>
    <row r="5" spans="1:20" x14ac:dyDescent="0.3">
      <c r="M5" s="9" t="s">
        <v>59</v>
      </c>
      <c r="N5" s="6" t="s">
        <v>8</v>
      </c>
      <c r="O5" s="6" t="s">
        <v>9</v>
      </c>
      <c r="P5" s="6" t="s">
        <v>10</v>
      </c>
      <c r="Q5" s="7">
        <v>43994</v>
      </c>
      <c r="R5" s="6" t="s">
        <v>11</v>
      </c>
      <c r="S5" s="8">
        <v>51300</v>
      </c>
      <c r="T5" s="10">
        <v>26</v>
      </c>
    </row>
    <row r="6" spans="1:20" x14ac:dyDescent="0.3">
      <c r="C6" s="27" t="s">
        <v>95</v>
      </c>
      <c r="D6" s="28" t="s">
        <v>40</v>
      </c>
      <c r="M6" s="9" t="s">
        <v>60</v>
      </c>
      <c r="N6" s="6" t="s">
        <v>12</v>
      </c>
      <c r="O6" s="6" t="s">
        <v>13</v>
      </c>
      <c r="P6" s="6" t="s">
        <v>14</v>
      </c>
      <c r="Q6" s="7">
        <v>44245</v>
      </c>
      <c r="R6" s="6" t="s">
        <v>15</v>
      </c>
      <c r="S6" s="8">
        <v>38300</v>
      </c>
      <c r="T6" s="10">
        <v>32.700000000000003</v>
      </c>
    </row>
    <row r="7" spans="1:20" x14ac:dyDescent="0.3">
      <c r="M7" s="9" t="s">
        <v>61</v>
      </c>
      <c r="N7" s="6" t="s">
        <v>16</v>
      </c>
      <c r="O7" s="6" t="s">
        <v>9</v>
      </c>
      <c r="P7" s="6" t="s">
        <v>17</v>
      </c>
      <c r="Q7" s="7">
        <v>44809</v>
      </c>
      <c r="R7" s="6" t="s">
        <v>18</v>
      </c>
      <c r="S7" s="8">
        <v>31400</v>
      </c>
      <c r="T7" s="10">
        <v>34.299999999999997</v>
      </c>
    </row>
    <row r="8" spans="1:20" x14ac:dyDescent="0.3">
      <c r="C8" s="5" t="s">
        <v>0</v>
      </c>
      <c r="D8" s="5" t="str">
        <f>_xlfn.XLOOKUP(D6,staff[Emp ID],staff[Name])</f>
        <v>Exact Hoover</v>
      </c>
      <c r="M8" s="9" t="s">
        <v>62</v>
      </c>
      <c r="N8" s="6" t="s">
        <v>19</v>
      </c>
      <c r="O8" s="6" t="s">
        <v>9</v>
      </c>
      <c r="P8" s="6" t="s">
        <v>10</v>
      </c>
      <c r="Q8" s="7">
        <v>43789</v>
      </c>
      <c r="R8" s="6" t="s">
        <v>20</v>
      </c>
      <c r="S8" s="8">
        <v>60700</v>
      </c>
      <c r="T8" s="10">
        <v>29.6</v>
      </c>
    </row>
    <row r="9" spans="1:20" x14ac:dyDescent="0.3">
      <c r="M9" s="9" t="s">
        <v>63</v>
      </c>
      <c r="N9" s="6" t="s">
        <v>21</v>
      </c>
      <c r="O9" s="6" t="s">
        <v>13</v>
      </c>
      <c r="P9" s="6" t="s">
        <v>22</v>
      </c>
      <c r="Q9" s="7">
        <v>43198</v>
      </c>
      <c r="R9" s="6" t="s">
        <v>23</v>
      </c>
      <c r="S9" s="8">
        <v>77300</v>
      </c>
      <c r="T9" s="10">
        <v>30.3</v>
      </c>
    </row>
    <row r="10" spans="1:20" x14ac:dyDescent="0.3">
      <c r="M10" s="9" t="s">
        <v>64</v>
      </c>
      <c r="N10" s="6" t="s">
        <v>24</v>
      </c>
      <c r="O10" s="6" t="s">
        <v>13</v>
      </c>
      <c r="P10" s="6" t="s">
        <v>10</v>
      </c>
      <c r="Q10" s="7">
        <v>44999</v>
      </c>
      <c r="R10" s="6" t="s">
        <v>25</v>
      </c>
      <c r="S10" s="8">
        <v>49800</v>
      </c>
      <c r="T10" s="10">
        <v>37.700000000000003</v>
      </c>
    </row>
    <row r="11" spans="1:20" x14ac:dyDescent="0.3">
      <c r="M11" s="9" t="s">
        <v>65</v>
      </c>
      <c r="N11" s="6" t="s">
        <v>26</v>
      </c>
      <c r="O11" s="6" t="s">
        <v>9</v>
      </c>
      <c r="P11" s="6" t="s">
        <v>17</v>
      </c>
      <c r="Q11" s="7">
        <v>44563</v>
      </c>
      <c r="R11" s="6" t="s">
        <v>15</v>
      </c>
      <c r="S11" s="8">
        <v>33000</v>
      </c>
      <c r="T11" s="10">
        <v>31.8</v>
      </c>
    </row>
    <row r="12" spans="1:20" x14ac:dyDescent="0.3">
      <c r="C12" s="4" t="s">
        <v>96</v>
      </c>
      <c r="M12" s="9" t="s">
        <v>66</v>
      </c>
      <c r="N12" s="6" t="s">
        <v>27</v>
      </c>
      <c r="O12" s="6" t="s">
        <v>13</v>
      </c>
      <c r="P12" s="6" t="s">
        <v>14</v>
      </c>
      <c r="Q12" s="7">
        <v>44031</v>
      </c>
      <c r="R12" s="6" t="s">
        <v>28</v>
      </c>
      <c r="S12" s="8">
        <v>41900</v>
      </c>
      <c r="T12" s="10">
        <v>35.9</v>
      </c>
    </row>
    <row r="13" spans="1:20" x14ac:dyDescent="0.3">
      <c r="C13" t="s">
        <v>97</v>
      </c>
      <c r="M13" s="9" t="s">
        <v>67</v>
      </c>
      <c r="N13" s="6" t="s">
        <v>29</v>
      </c>
      <c r="O13" s="6" t="s">
        <v>9</v>
      </c>
      <c r="P13" s="6" t="s">
        <v>10</v>
      </c>
      <c r="Q13" s="7">
        <v>44510</v>
      </c>
      <c r="R13" s="6" t="s">
        <v>30</v>
      </c>
      <c r="S13" s="8">
        <v>58100</v>
      </c>
      <c r="T13" s="10">
        <v>31</v>
      </c>
    </row>
    <row r="14" spans="1:20" x14ac:dyDescent="0.3">
      <c r="M14" s="9" t="s">
        <v>68</v>
      </c>
      <c r="N14" s="6" t="s">
        <v>31</v>
      </c>
      <c r="O14" s="6" t="s">
        <v>9</v>
      </c>
      <c r="P14" s="6" t="s">
        <v>22</v>
      </c>
      <c r="Q14" s="7">
        <v>43641</v>
      </c>
      <c r="R14" s="6" t="s">
        <v>32</v>
      </c>
      <c r="S14" s="8">
        <v>82900</v>
      </c>
      <c r="T14" s="10">
        <v>31.1</v>
      </c>
    </row>
    <row r="15" spans="1:20" x14ac:dyDescent="0.3">
      <c r="C15" s="27" t="s">
        <v>98</v>
      </c>
      <c r="D15" s="28" t="s">
        <v>44</v>
      </c>
      <c r="M15" s="9" t="s">
        <v>69</v>
      </c>
      <c r="N15" s="6" t="s">
        <v>33</v>
      </c>
      <c r="O15" s="6" t="s">
        <v>9</v>
      </c>
      <c r="P15" s="6" t="s">
        <v>17</v>
      </c>
      <c r="Q15" s="7">
        <v>44777</v>
      </c>
      <c r="R15" s="6" t="s">
        <v>18</v>
      </c>
      <c r="S15" s="8">
        <v>28900</v>
      </c>
      <c r="T15" s="10">
        <v>30.3</v>
      </c>
    </row>
    <row r="16" spans="1:20" x14ac:dyDescent="0.3">
      <c r="M16" s="9" t="s">
        <v>70</v>
      </c>
      <c r="N16" s="6" t="s">
        <v>34</v>
      </c>
      <c r="O16" s="6" t="s">
        <v>9</v>
      </c>
      <c r="P16" s="6" t="s">
        <v>14</v>
      </c>
      <c r="Q16" s="7">
        <v>43878</v>
      </c>
      <c r="R16" s="6" t="s">
        <v>15</v>
      </c>
      <c r="S16" s="8">
        <v>37300</v>
      </c>
      <c r="T16" s="10">
        <v>35</v>
      </c>
    </row>
    <row r="17" spans="3:20" x14ac:dyDescent="0.3">
      <c r="C17" s="20" t="str" cm="1">
        <f t="array" ref="C17:J17">_xlfn.XLOOKUP(D15,staff[Emp ID],staff[])</f>
        <v>Rajini COTH</v>
      </c>
      <c r="D17" s="20" t="str">
        <v>AC0021</v>
      </c>
      <c r="E17" s="44" t="str">
        <v>Male</v>
      </c>
      <c r="F17" s="20" t="str">
        <v>Diploma</v>
      </c>
      <c r="G17" s="21">
        <v>43712</v>
      </c>
      <c r="H17" s="20" t="str">
        <v>Packaging Associate</v>
      </c>
      <c r="I17" s="22">
        <v>32600</v>
      </c>
      <c r="J17" s="20">
        <v>31.5</v>
      </c>
      <c r="M17" s="9" t="s">
        <v>71</v>
      </c>
      <c r="N17" s="6" t="s">
        <v>35</v>
      </c>
      <c r="O17" s="6" t="s">
        <v>9</v>
      </c>
      <c r="P17" s="6" t="s">
        <v>10</v>
      </c>
      <c r="Q17" s="7">
        <v>44499</v>
      </c>
      <c r="R17" s="6" t="s">
        <v>11</v>
      </c>
      <c r="S17" s="8">
        <v>52700</v>
      </c>
      <c r="T17" s="10">
        <v>28.5</v>
      </c>
    </row>
    <row r="18" spans="3:20" x14ac:dyDescent="0.3">
      <c r="M18" s="9" t="s">
        <v>72</v>
      </c>
      <c r="N18" s="6" t="s">
        <v>36</v>
      </c>
      <c r="O18" s="6" t="s">
        <v>13</v>
      </c>
      <c r="P18" s="6" t="s">
        <v>22</v>
      </c>
      <c r="Q18" s="7">
        <v>43355</v>
      </c>
      <c r="R18" s="6" t="s">
        <v>37</v>
      </c>
      <c r="S18" s="8">
        <v>74700</v>
      </c>
      <c r="T18" s="10">
        <v>52.4</v>
      </c>
    </row>
    <row r="19" spans="3:20" x14ac:dyDescent="0.3">
      <c r="M19" s="9" t="s">
        <v>73</v>
      </c>
      <c r="N19" s="6" t="s">
        <v>38</v>
      </c>
      <c r="O19" s="6" t="s">
        <v>9</v>
      </c>
      <c r="P19" s="6" t="s">
        <v>10</v>
      </c>
      <c r="Q19" s="7">
        <v>43529</v>
      </c>
      <c r="R19" s="6" t="s">
        <v>30</v>
      </c>
      <c r="S19" s="8">
        <v>55600</v>
      </c>
      <c r="T19" s="10">
        <v>35.4</v>
      </c>
    </row>
    <row r="20" spans="3:20" x14ac:dyDescent="0.3">
      <c r="C20" s="4" t="s">
        <v>99</v>
      </c>
      <c r="M20" s="9" t="s">
        <v>74</v>
      </c>
      <c r="N20" s="6" t="s">
        <v>39</v>
      </c>
      <c r="O20" s="6" t="s">
        <v>9</v>
      </c>
      <c r="P20" s="6" t="s">
        <v>17</v>
      </c>
      <c r="Q20" s="7">
        <v>44702</v>
      </c>
      <c r="R20" s="6" t="s">
        <v>18</v>
      </c>
      <c r="S20" s="8">
        <v>32900</v>
      </c>
      <c r="T20" s="10">
        <v>29.8</v>
      </c>
    </row>
    <row r="21" spans="3:20" x14ac:dyDescent="0.3">
      <c r="C21" t="s">
        <v>100</v>
      </c>
      <c r="M21" s="9" t="s">
        <v>75</v>
      </c>
      <c r="N21" s="6" t="s">
        <v>40</v>
      </c>
      <c r="O21" s="6" t="s">
        <v>13</v>
      </c>
      <c r="P21" s="6" t="s">
        <v>14</v>
      </c>
      <c r="Q21" s="7">
        <v>44416</v>
      </c>
      <c r="R21" s="6" t="s">
        <v>28</v>
      </c>
      <c r="S21" s="8">
        <v>41500</v>
      </c>
      <c r="T21" s="10">
        <v>32.299999999999997</v>
      </c>
    </row>
    <row r="22" spans="3:20" x14ac:dyDescent="0.3">
      <c r="M22" s="9" t="s">
        <v>76</v>
      </c>
      <c r="N22" s="6" t="s">
        <v>41</v>
      </c>
      <c r="O22" s="6" t="s">
        <v>9</v>
      </c>
      <c r="P22" s="6" t="s">
        <v>10</v>
      </c>
      <c r="Q22" s="7">
        <v>44158</v>
      </c>
      <c r="R22" s="6" t="s">
        <v>25</v>
      </c>
      <c r="S22" s="8">
        <v>49400</v>
      </c>
      <c r="T22" s="10">
        <v>31.1</v>
      </c>
    </row>
    <row r="23" spans="3:20" x14ac:dyDescent="0.3">
      <c r="C23" s="24" t="str" cm="1">
        <f t="array" ref="C23:C30">TRANSPOSE(_xlfn.XLOOKUP(D15,staff[Emp ID],staff[]))</f>
        <v>Rajini COTH</v>
      </c>
      <c r="M23" s="9" t="s">
        <v>77</v>
      </c>
      <c r="N23" s="6" t="s">
        <v>42</v>
      </c>
      <c r="O23" s="6" t="s">
        <v>9</v>
      </c>
      <c r="P23" s="6" t="s">
        <v>22</v>
      </c>
      <c r="Q23" s="7">
        <v>42931</v>
      </c>
      <c r="R23" s="6" t="s">
        <v>32</v>
      </c>
      <c r="S23" s="8">
        <v>82700</v>
      </c>
      <c r="T23" s="10">
        <v>33.5</v>
      </c>
    </row>
    <row r="24" spans="3:20" x14ac:dyDescent="0.3">
      <c r="C24" s="24" t="str">
        <v>AC0021</v>
      </c>
      <c r="M24" s="9" t="s">
        <v>78</v>
      </c>
      <c r="N24" s="6" t="s">
        <v>43</v>
      </c>
      <c r="O24" s="6" t="s">
        <v>13</v>
      </c>
      <c r="P24" s="6" t="s">
        <v>17</v>
      </c>
      <c r="Q24" s="7">
        <v>44650</v>
      </c>
      <c r="R24" s="6" t="s">
        <v>15</v>
      </c>
      <c r="S24" s="8">
        <v>38200</v>
      </c>
      <c r="T24" s="10">
        <v>31.1</v>
      </c>
    </row>
    <row r="25" spans="3:20" x14ac:dyDescent="0.3">
      <c r="C25" s="24" t="str">
        <v>Male</v>
      </c>
      <c r="M25" s="9" t="s">
        <v>79</v>
      </c>
      <c r="N25" s="6" t="s">
        <v>44</v>
      </c>
      <c r="O25" s="6" t="s">
        <v>9</v>
      </c>
      <c r="P25" s="6" t="s">
        <v>14</v>
      </c>
      <c r="Q25" s="7">
        <v>43712</v>
      </c>
      <c r="R25" s="6" t="s">
        <v>18</v>
      </c>
      <c r="S25" s="8">
        <v>32600</v>
      </c>
      <c r="T25" s="10">
        <v>31.5</v>
      </c>
    </row>
    <row r="26" spans="3:20" x14ac:dyDescent="0.3">
      <c r="C26" s="24" t="str">
        <v>Diploma</v>
      </c>
      <c r="M26" s="9" t="s">
        <v>80</v>
      </c>
      <c r="N26" s="6" t="s">
        <v>45</v>
      </c>
      <c r="O26" s="6" t="s">
        <v>9</v>
      </c>
      <c r="P26" s="6" t="s">
        <v>10</v>
      </c>
      <c r="Q26" s="7">
        <v>43270</v>
      </c>
      <c r="R26" s="6" t="s">
        <v>23</v>
      </c>
      <c r="S26" s="8">
        <v>76800</v>
      </c>
      <c r="T26" s="10">
        <v>32.700000000000003</v>
      </c>
    </row>
    <row r="27" spans="3:20" x14ac:dyDescent="0.3">
      <c r="C27" s="25">
        <v>43712</v>
      </c>
      <c r="M27" s="9" t="s">
        <v>81</v>
      </c>
      <c r="N27" s="6" t="s">
        <v>46</v>
      </c>
      <c r="O27" s="6" t="s">
        <v>9</v>
      </c>
      <c r="P27" s="6" t="s">
        <v>22</v>
      </c>
      <c r="Q27" s="7">
        <v>44203</v>
      </c>
      <c r="R27" s="6" t="s">
        <v>20</v>
      </c>
      <c r="S27" s="8">
        <v>62300</v>
      </c>
      <c r="T27" s="10">
        <v>33.799999999999997</v>
      </c>
    </row>
    <row r="28" spans="3:20" x14ac:dyDescent="0.3">
      <c r="C28" s="24" t="str">
        <v>Packaging Associate</v>
      </c>
      <c r="M28" s="9" t="s">
        <v>82</v>
      </c>
      <c r="N28" s="6" t="s">
        <v>47</v>
      </c>
      <c r="O28" s="6" t="s">
        <v>9</v>
      </c>
      <c r="P28" s="6" t="s">
        <v>10</v>
      </c>
      <c r="Q28" s="7">
        <v>44068</v>
      </c>
      <c r="R28" s="6" t="s">
        <v>25</v>
      </c>
      <c r="S28" s="8">
        <v>46200</v>
      </c>
      <c r="T28" s="10">
        <v>30.1</v>
      </c>
    </row>
    <row r="29" spans="3:20" x14ac:dyDescent="0.3">
      <c r="C29" s="26">
        <v>32600</v>
      </c>
      <c r="M29" s="9" t="s">
        <v>83</v>
      </c>
      <c r="N29" s="6" t="s">
        <v>48</v>
      </c>
      <c r="O29" s="6" t="s">
        <v>13</v>
      </c>
      <c r="P29" s="6" t="s">
        <v>17</v>
      </c>
      <c r="Q29" s="7">
        <v>44969</v>
      </c>
      <c r="R29" s="6" t="s">
        <v>18</v>
      </c>
      <c r="S29" s="8">
        <v>32500</v>
      </c>
      <c r="T29" s="10">
        <v>63.7</v>
      </c>
    </row>
    <row r="30" spans="3:20" x14ac:dyDescent="0.3">
      <c r="C30" s="24">
        <v>31.5</v>
      </c>
      <c r="M30" s="9" t="s">
        <v>84</v>
      </c>
      <c r="N30" s="6" t="s">
        <v>49</v>
      </c>
      <c r="O30" s="6" t="s">
        <v>13</v>
      </c>
      <c r="P30" s="6" t="s">
        <v>14</v>
      </c>
      <c r="Q30" s="7">
        <v>44866</v>
      </c>
      <c r="R30" s="6" t="s">
        <v>28</v>
      </c>
      <c r="S30" s="8">
        <v>43100</v>
      </c>
      <c r="T30" s="10">
        <v>33.799999999999997</v>
      </c>
    </row>
    <row r="31" spans="3:20" x14ac:dyDescent="0.3">
      <c r="M31" s="9" t="s">
        <v>85</v>
      </c>
      <c r="N31" s="6" t="s">
        <v>50</v>
      </c>
      <c r="O31" s="6" t="s">
        <v>13</v>
      </c>
      <c r="P31" s="6" t="s">
        <v>10</v>
      </c>
      <c r="Q31" s="7">
        <v>43571</v>
      </c>
      <c r="R31" s="6" t="s">
        <v>30</v>
      </c>
      <c r="S31" s="8">
        <v>60000</v>
      </c>
      <c r="T31" s="10">
        <v>28.8</v>
      </c>
    </row>
    <row r="32" spans="3:20" x14ac:dyDescent="0.3">
      <c r="M32" s="9" t="s">
        <v>92</v>
      </c>
      <c r="N32" s="6" t="s">
        <v>51</v>
      </c>
      <c r="O32" s="6" t="s">
        <v>9</v>
      </c>
      <c r="P32" s="6" t="s">
        <v>22</v>
      </c>
      <c r="Q32" s="7">
        <v>43382</v>
      </c>
      <c r="R32" s="6" t="s">
        <v>32</v>
      </c>
      <c r="S32" s="8">
        <v>82100</v>
      </c>
      <c r="T32" s="10">
        <v>32.700000000000003</v>
      </c>
    </row>
    <row r="33" spans="3:20" x14ac:dyDescent="0.3">
      <c r="M33" s="9" t="s">
        <v>86</v>
      </c>
      <c r="N33" s="6" t="s">
        <v>52</v>
      </c>
      <c r="O33" s="6" t="s">
        <v>9</v>
      </c>
      <c r="P33" s="6" t="s">
        <v>17</v>
      </c>
      <c r="Q33" s="7">
        <v>45072</v>
      </c>
      <c r="R33" s="6" t="s">
        <v>15</v>
      </c>
      <c r="S33" s="8">
        <v>35900</v>
      </c>
      <c r="T33" s="10">
        <v>29.9</v>
      </c>
    </row>
    <row r="34" spans="3:20" x14ac:dyDescent="0.3">
      <c r="M34" s="9" t="s">
        <v>87</v>
      </c>
      <c r="N34" s="6" t="s">
        <v>53</v>
      </c>
      <c r="O34" s="6" t="s">
        <v>9</v>
      </c>
      <c r="P34" s="6" t="s">
        <v>14</v>
      </c>
      <c r="Q34" s="7">
        <v>43843</v>
      </c>
      <c r="R34" s="6" t="s">
        <v>18</v>
      </c>
      <c r="S34" s="8">
        <v>31100</v>
      </c>
      <c r="T34" s="10">
        <v>27</v>
      </c>
    </row>
    <row r="35" spans="3:20" x14ac:dyDescent="0.3">
      <c r="C35" s="4" t="s">
        <v>101</v>
      </c>
      <c r="M35" s="9" t="s">
        <v>88</v>
      </c>
      <c r="N35" s="6" t="s">
        <v>54</v>
      </c>
      <c r="O35" s="6" t="s">
        <v>9</v>
      </c>
      <c r="P35" s="6" t="s">
        <v>10</v>
      </c>
      <c r="Q35" s="7">
        <v>43308</v>
      </c>
      <c r="R35" s="6" t="s">
        <v>37</v>
      </c>
      <c r="S35" s="8">
        <v>74200</v>
      </c>
      <c r="T35" s="10">
        <v>30.6</v>
      </c>
    </row>
    <row r="36" spans="3:20" x14ac:dyDescent="0.3">
      <c r="C36" t="s">
        <v>102</v>
      </c>
      <c r="M36" s="9" t="s">
        <v>93</v>
      </c>
      <c r="N36" s="6" t="s">
        <v>55</v>
      </c>
      <c r="O36" s="6" t="s">
        <v>9</v>
      </c>
      <c r="P36" s="6" t="s">
        <v>22</v>
      </c>
      <c r="Q36" s="7">
        <v>43538</v>
      </c>
      <c r="R36" s="6" t="s">
        <v>30</v>
      </c>
      <c r="S36" s="8">
        <v>57100</v>
      </c>
      <c r="T36" s="10">
        <v>28.7</v>
      </c>
    </row>
    <row r="37" spans="3:20" x14ac:dyDescent="0.3">
      <c r="M37" s="9" t="s">
        <v>89</v>
      </c>
      <c r="N37" s="6" t="s">
        <v>56</v>
      </c>
      <c r="O37" s="6" t="s">
        <v>9</v>
      </c>
      <c r="P37" s="6" t="s">
        <v>17</v>
      </c>
      <c r="Q37" s="7">
        <v>44832</v>
      </c>
      <c r="R37" s="6" t="s">
        <v>18</v>
      </c>
      <c r="S37" s="8">
        <v>35200</v>
      </c>
      <c r="T37" s="10">
        <v>33.700000000000003</v>
      </c>
    </row>
    <row r="38" spans="3:20" x14ac:dyDescent="0.3">
      <c r="C38" s="27" t="s">
        <v>103</v>
      </c>
      <c r="D38" s="28" t="s">
        <v>130</v>
      </c>
      <c r="M38" s="9" t="s">
        <v>90</v>
      </c>
      <c r="N38" s="6" t="s">
        <v>57</v>
      </c>
      <c r="O38" s="6" t="s">
        <v>9</v>
      </c>
      <c r="P38" s="6" t="s">
        <v>14</v>
      </c>
      <c r="Q38" s="7">
        <v>44297</v>
      </c>
      <c r="R38" s="6" t="s">
        <v>28</v>
      </c>
      <c r="S38" s="8">
        <v>42800</v>
      </c>
      <c r="T38" s="10">
        <v>31.2</v>
      </c>
    </row>
    <row r="39" spans="3:20" x14ac:dyDescent="0.3">
      <c r="M39" s="15" t="s">
        <v>91</v>
      </c>
      <c r="N39" s="16" t="s">
        <v>58</v>
      </c>
      <c r="O39" s="16" t="s">
        <v>9</v>
      </c>
      <c r="P39" s="16" t="s">
        <v>10</v>
      </c>
      <c r="Q39" s="17">
        <v>43856</v>
      </c>
      <c r="R39" s="16" t="s">
        <v>25</v>
      </c>
      <c r="S39" s="18">
        <v>46900</v>
      </c>
      <c r="T39" s="19">
        <v>34.9</v>
      </c>
    </row>
    <row r="40" spans="3:20" x14ac:dyDescent="0.3">
      <c r="C40" s="5" t="s">
        <v>104</v>
      </c>
      <c r="D40" s="5" t="str">
        <f>_xlfn.XLOOKUP(D38&amp;"*",staff[Name],staff[Name],,2)</f>
        <v>Harry S TRUEman</v>
      </c>
      <c r="E40" s="42" t="str">
        <f>_xlfn.XLOOKUP(D38&amp;"*",staff[Name],staff[Name],,2)</f>
        <v>Harry S TRUEman</v>
      </c>
    </row>
    <row r="41" spans="3:20" x14ac:dyDescent="0.3">
      <c r="C41" s="5" t="s">
        <v>4</v>
      </c>
      <c r="D41" s="23">
        <f>_xlfn.XLOOKUP(D38&amp;"*",staff[Name],staff[Date of Join],,2)</f>
        <v>44777</v>
      </c>
      <c r="E41" s="42">
        <f>_xlfn.XLOOKUP(D38&amp;"*",staff[Name],staff[Date of Join],,2)</f>
        <v>44777</v>
      </c>
    </row>
    <row r="44" spans="3:20" x14ac:dyDescent="0.3">
      <c r="C44" s="4" t="s">
        <v>106</v>
      </c>
    </row>
    <row r="45" spans="3:20" x14ac:dyDescent="0.3">
      <c r="C45" t="s">
        <v>105</v>
      </c>
    </row>
    <row r="48" spans="3:20" x14ac:dyDescent="0.3">
      <c r="C48" s="5" t="s">
        <v>104</v>
      </c>
      <c r="D48" s="29" t="e" cm="1">
        <f t="array" aca="1" ref="D48" ca="1">CHOOSECOLS(_xlfn.XLOOKUP(D38&amp;"*",staff[Name],staff[],,2),1,5)</f>
        <v>#NAME?</v>
      </c>
    </row>
    <row r="49" spans="3:4" x14ac:dyDescent="0.3">
      <c r="C49" s="5" t="s">
        <v>4</v>
      </c>
      <c r="D49" s="30"/>
    </row>
    <row r="53" spans="3:4" x14ac:dyDescent="0.3">
      <c r="C53" s="4" t="s">
        <v>108</v>
      </c>
    </row>
    <row r="54" spans="3:4" x14ac:dyDescent="0.3">
      <c r="C54" t="s">
        <v>109</v>
      </c>
    </row>
    <row r="56" spans="3:4" x14ac:dyDescent="0.3">
      <c r="C56" s="27" t="s">
        <v>6</v>
      </c>
      <c r="D56" s="32">
        <v>52000</v>
      </c>
    </row>
    <row r="59" spans="3:4" x14ac:dyDescent="0.3">
      <c r="C59" s="27" t="s">
        <v>0</v>
      </c>
      <c r="D59" s="33" t="str">
        <f>_xlfn.XLOOKUP(D56,staff[Salary],staff[Name],,1)</f>
        <v>Wood ROW Wilson</v>
      </c>
    </row>
    <row r="60" spans="3:4" x14ac:dyDescent="0.3">
      <c r="D60" t="str">
        <f>_xlfn.XLOOKUP(D56,staff[Salary],staff[Name],,1)</f>
        <v>Wood ROW Wilson</v>
      </c>
    </row>
    <row r="64" spans="3:4" x14ac:dyDescent="0.3">
      <c r="C64" s="4" t="s">
        <v>112</v>
      </c>
    </row>
    <row r="65" spans="3:5" x14ac:dyDescent="0.3">
      <c r="C65" t="s">
        <v>110</v>
      </c>
    </row>
    <row r="67" spans="3:5" x14ac:dyDescent="0.3">
      <c r="C67" s="27" t="s">
        <v>2</v>
      </c>
      <c r="D67" s="32" t="s">
        <v>132</v>
      </c>
    </row>
    <row r="68" spans="3:5" x14ac:dyDescent="0.3">
      <c r="C68" s="27" t="s">
        <v>5</v>
      </c>
      <c r="D68" s="32" t="s">
        <v>133</v>
      </c>
    </row>
    <row r="71" spans="3:5" x14ac:dyDescent="0.3">
      <c r="C71" s="34" t="s">
        <v>111</v>
      </c>
      <c r="E71" s="42" t="str" cm="1">
        <f t="array" ref="E71">_xlfn.XLOOKUP(1,(staff[Gender]=D67)*(staff[Job Title]=D68),staff[Name])</f>
        <v>Franklin D Choosevelt</v>
      </c>
    </row>
    <row r="72" spans="3:5" x14ac:dyDescent="0.3">
      <c r="C72" s="35" t="str" cm="1">
        <f t="array" ref="C72">_xlfn.XLOOKUP(1,(staff[Gender]=D67)*(staff[Job Title]=D68),staff[Name])</f>
        <v>Franklin D Choosevelt</v>
      </c>
    </row>
    <row r="77" spans="3:5" x14ac:dyDescent="0.3">
      <c r="C77" s="4" t="s">
        <v>114</v>
      </c>
    </row>
    <row r="78" spans="3:5" x14ac:dyDescent="0.3">
      <c r="C78" t="s">
        <v>113</v>
      </c>
    </row>
    <row r="80" spans="3:5" x14ac:dyDescent="0.3">
      <c r="C80" s="27" t="s">
        <v>115</v>
      </c>
      <c r="D80" s="36">
        <v>44640</v>
      </c>
    </row>
    <row r="81" spans="3:7" x14ac:dyDescent="0.3">
      <c r="C81" s="27" t="s">
        <v>116</v>
      </c>
      <c r="D81" s="36">
        <v>44652</v>
      </c>
      <c r="E81" s="42" t="str" cm="1">
        <f t="array" ref="E81">_xlfn.XLOOKUP(1,(staff[Date of Join]&gt;=D80)*(staff[Date of Join]&lt;=D81),staff[Name])</f>
        <v>Aishwarya ROW</v>
      </c>
    </row>
    <row r="83" spans="3:7" x14ac:dyDescent="0.3">
      <c r="G83" t="s">
        <v>131</v>
      </c>
    </row>
    <row r="84" spans="3:7" x14ac:dyDescent="0.3">
      <c r="C84" s="34" t="s">
        <v>111</v>
      </c>
    </row>
    <row r="85" spans="3:7" x14ac:dyDescent="0.3">
      <c r="C85" s="35" t="str" cm="1">
        <f t="array" ref="C85">_xlfn.XLOOKUP(1,(staff[Date of Join]&gt;=D80)*(staff[Date of Join]&lt;=D81),staff[Name])</f>
        <v>Aishwarya ROW</v>
      </c>
    </row>
    <row r="86" spans="3:7" x14ac:dyDescent="0.3">
      <c r="C86" t="s">
        <v>131</v>
      </c>
    </row>
    <row r="90" spans="3:7" x14ac:dyDescent="0.3">
      <c r="C90" s="4" t="s">
        <v>117</v>
      </c>
    </row>
    <row r="91" spans="3:7" x14ac:dyDescent="0.3">
      <c r="C91" t="s">
        <v>118</v>
      </c>
      <c r="E91" s="45" t="s">
        <v>129</v>
      </c>
    </row>
    <row r="92" spans="3:7" x14ac:dyDescent="0.3">
      <c r="G92" t="str" cm="1">
        <f t="array" ref="G92:G99">TRANSPOSE(_xlfn.XLOOKUP(MAX(staff[Salary]),staff[Salary],staff[]))</f>
        <v>Abraham LinColumn</v>
      </c>
    </row>
    <row r="93" spans="3:7" x14ac:dyDescent="0.3">
      <c r="C93" s="38" t="s">
        <v>119</v>
      </c>
      <c r="E93" s="46" t="s">
        <v>119</v>
      </c>
      <c r="G93" t="str">
        <v>AC0010</v>
      </c>
    </row>
    <row r="94" spans="3:7" x14ac:dyDescent="0.3">
      <c r="C94" s="37" t="str" cm="1">
        <f t="array" ref="C94:C101">TRANSPOSE(_xlfn.XLOOKUP(MAX(staff[Salary]),staff[Salary],staff[]))</f>
        <v>Abraham LinColumn</v>
      </c>
      <c r="E94" s="47"/>
      <c r="G94" t="str">
        <v>Male</v>
      </c>
    </row>
    <row r="95" spans="3:7" x14ac:dyDescent="0.3">
      <c r="C95" s="37" t="str">
        <v>AC0010</v>
      </c>
      <c r="E95" s="47"/>
      <c r="G95" t="str">
        <v>Master's Degree</v>
      </c>
    </row>
    <row r="96" spans="3:7" x14ac:dyDescent="0.3">
      <c r="C96" s="37" t="str">
        <v>Male</v>
      </c>
      <c r="E96" s="47"/>
      <c r="G96" s="41">
        <v>43641</v>
      </c>
    </row>
    <row r="97" spans="3:7" x14ac:dyDescent="0.3">
      <c r="C97" s="37" t="str">
        <v>Master's Degree</v>
      </c>
      <c r="E97" s="47"/>
      <c r="G97" t="str">
        <v>Product Manager</v>
      </c>
    </row>
    <row r="98" spans="3:7" x14ac:dyDescent="0.3">
      <c r="C98" s="25">
        <v>43641</v>
      </c>
      <c r="E98" s="48"/>
      <c r="G98" s="42">
        <v>82900</v>
      </c>
    </row>
    <row r="99" spans="3:7" x14ac:dyDescent="0.3">
      <c r="C99" s="24" t="str">
        <v>Product Manager</v>
      </c>
      <c r="E99" s="48"/>
      <c r="G99">
        <v>31.1</v>
      </c>
    </row>
    <row r="100" spans="3:7" x14ac:dyDescent="0.3">
      <c r="C100" s="26">
        <v>82900</v>
      </c>
      <c r="E100" s="48"/>
    </row>
    <row r="101" spans="3:7" x14ac:dyDescent="0.3">
      <c r="C101" s="24">
        <v>31.1</v>
      </c>
      <c r="E101" s="48"/>
    </row>
    <row r="102" spans="3:7" x14ac:dyDescent="0.3">
      <c r="F102" t="s">
        <v>131</v>
      </c>
    </row>
    <row r="107" spans="3:7" x14ac:dyDescent="0.3">
      <c r="C107" s="4" t="s">
        <v>121</v>
      </c>
    </row>
    <row r="108" spans="3:7" x14ac:dyDescent="0.3">
      <c r="C108" t="s">
        <v>120</v>
      </c>
    </row>
    <row r="111" spans="3:7" x14ac:dyDescent="0.3">
      <c r="C111" s="38" t="s">
        <v>119</v>
      </c>
      <c r="E111" s="42" t="str" cm="1">
        <f t="array" ref="E111:E118">TRANSPOSE(_xlfn.XLOOKUP(MIN(staff[Date of Join]),staff[Date of Join],staff[]))</f>
        <v>Shahrukh SCAN</v>
      </c>
    </row>
    <row r="112" spans="3:7" x14ac:dyDescent="0.3">
      <c r="C112" s="37" t="str" cm="1">
        <f t="array" ref="C112:C119">TRANSPOSE(_xlfn.XLOOKUP(MIN(staff[Date of Join]),staff[Date of Join],staff[]))</f>
        <v>Shahrukh SCAN</v>
      </c>
      <c r="E112" s="42" t="str">
        <v>AC0019</v>
      </c>
    </row>
    <row r="113" spans="3:5" x14ac:dyDescent="0.3">
      <c r="C113" s="37" t="str">
        <v>AC0019</v>
      </c>
      <c r="E113" s="42" t="str">
        <v>Male</v>
      </c>
    </row>
    <row r="114" spans="3:5" x14ac:dyDescent="0.3">
      <c r="C114" s="37" t="str">
        <v>Male</v>
      </c>
      <c r="E114" s="42" t="str">
        <v>Master's Degree</v>
      </c>
    </row>
    <row r="115" spans="3:5" x14ac:dyDescent="0.3">
      <c r="C115" s="37" t="str">
        <v>Master's Degree</v>
      </c>
      <c r="E115" s="42">
        <v>42931</v>
      </c>
    </row>
    <row r="116" spans="3:5" x14ac:dyDescent="0.3">
      <c r="C116" s="25">
        <v>42931</v>
      </c>
      <c r="E116" s="42" t="str">
        <v>Product Manager</v>
      </c>
    </row>
    <row r="117" spans="3:5" x14ac:dyDescent="0.3">
      <c r="C117" s="24" t="str">
        <v>Product Manager</v>
      </c>
      <c r="E117" s="42">
        <v>82700</v>
      </c>
    </row>
    <row r="118" spans="3:5" x14ac:dyDescent="0.3">
      <c r="C118" s="26">
        <v>82700</v>
      </c>
      <c r="E118" s="42">
        <v>33.5</v>
      </c>
    </row>
    <row r="119" spans="3:5" x14ac:dyDescent="0.3">
      <c r="C119" s="24">
        <v>33.5</v>
      </c>
    </row>
    <row r="123" spans="3:5" x14ac:dyDescent="0.3">
      <c r="C123" s="4" t="s">
        <v>122</v>
      </c>
    </row>
    <row r="124" spans="3:5" x14ac:dyDescent="0.3">
      <c r="C124" t="s">
        <v>123</v>
      </c>
    </row>
    <row r="126" spans="3:5" x14ac:dyDescent="0.3">
      <c r="C126" s="27" t="s">
        <v>124</v>
      </c>
      <c r="D126" s="31" t="s">
        <v>15</v>
      </c>
    </row>
    <row r="128" spans="3:5" x14ac:dyDescent="0.3">
      <c r="C128" s="27" t="s">
        <v>0</v>
      </c>
      <c r="D128" s="33" t="str" cm="1">
        <f t="array" ref="D128">INDEX(_xlfn._xlws.FILTER(staff[Name],staff[Job Title]=D126),2)</f>
        <v>Jimmy Charter</v>
      </c>
    </row>
    <row r="131" spans="3:4" x14ac:dyDescent="0.3">
      <c r="C131" s="4" t="s">
        <v>125</v>
      </c>
    </row>
    <row r="132" spans="3:4" x14ac:dyDescent="0.3">
      <c r="C132" t="s">
        <v>126</v>
      </c>
    </row>
    <row r="134" spans="3:4" x14ac:dyDescent="0.3">
      <c r="C134" s="27" t="s">
        <v>127</v>
      </c>
      <c r="D134" s="37" t="e" cm="1" vm="1">
        <f t="array" aca="1" ref="D134" ca="1">_xlfn._xlws.FILTER(staff[Name],staff[Job Title]=D126)</f>
        <v>#VALUE!</v>
      </c>
    </row>
    <row r="135" spans="3:4" x14ac:dyDescent="0.3">
      <c r="D135" s="37" t="s">
        <v>131</v>
      </c>
    </row>
    <row r="136" spans="3:4" x14ac:dyDescent="0.3">
      <c r="D136" s="37"/>
    </row>
    <row r="137" spans="3:4" x14ac:dyDescent="0.3">
      <c r="D137" s="37"/>
    </row>
    <row r="138" spans="3:4" x14ac:dyDescent="0.3">
      <c r="D138" s="37"/>
    </row>
    <row r="139" spans="3:4" x14ac:dyDescent="0.3">
      <c r="D139" s="37"/>
    </row>
    <row r="140" spans="3:4" x14ac:dyDescent="0.3">
      <c r="D140" s="37"/>
    </row>
    <row r="141" spans="3:4" x14ac:dyDescent="0.3">
      <c r="D141" s="37"/>
    </row>
    <row r="142" spans="3:4" x14ac:dyDescent="0.3">
      <c r="D142" s="37"/>
    </row>
    <row r="143" spans="3:4" x14ac:dyDescent="0.3">
      <c r="D143" s="37"/>
    </row>
    <row r="218" spans="3:11" x14ac:dyDescent="0.3">
      <c r="C218" s="39" t="s">
        <v>128</v>
      </c>
      <c r="D218" s="40"/>
      <c r="E218" s="49"/>
      <c r="F218" s="40"/>
      <c r="G218" s="40"/>
      <c r="H218" s="40"/>
      <c r="I218" s="40"/>
      <c r="J218" s="40"/>
      <c r="K218" s="40"/>
    </row>
    <row r="220" spans="3:11" x14ac:dyDescent="0.3">
      <c r="C220" s="4" t="s">
        <v>94</v>
      </c>
    </row>
    <row r="222" spans="3:11" x14ac:dyDescent="0.3">
      <c r="C222" s="27" t="s">
        <v>95</v>
      </c>
      <c r="D222" s="28" t="s">
        <v>40</v>
      </c>
    </row>
    <row r="224" spans="3:11" x14ac:dyDescent="0.3">
      <c r="C224" s="5" t="s">
        <v>0</v>
      </c>
      <c r="D224" s="5" t="str">
        <f>_xlfn.XLOOKUP(D222,staff[Emp ID],staff[Name])</f>
        <v>Exact Hoover</v>
      </c>
    </row>
    <row r="228" spans="3:10" x14ac:dyDescent="0.3">
      <c r="C228" s="4" t="s">
        <v>96</v>
      </c>
    </row>
    <row r="229" spans="3:10" x14ac:dyDescent="0.3">
      <c r="C229" t="s">
        <v>97</v>
      </c>
    </row>
    <row r="231" spans="3:10" x14ac:dyDescent="0.3">
      <c r="C231" s="27" t="s">
        <v>98</v>
      </c>
      <c r="D231" s="28" t="s">
        <v>44</v>
      </c>
    </row>
    <row r="233" spans="3:10" x14ac:dyDescent="0.3">
      <c r="C233" s="20" t="str" cm="1">
        <f t="array" ref="C233:J233">_xlfn.XLOOKUP(D231,staff[Emp ID],staff[])</f>
        <v>Rajini COTH</v>
      </c>
      <c r="D233" s="20" t="str">
        <v>AC0021</v>
      </c>
      <c r="E233" s="44" t="str">
        <v>Male</v>
      </c>
      <c r="F233" s="20" t="str">
        <v>Diploma</v>
      </c>
      <c r="G233" s="21">
        <v>43712</v>
      </c>
      <c r="H233" s="20" t="str">
        <v>Packaging Associate</v>
      </c>
      <c r="I233" s="22">
        <v>32600</v>
      </c>
      <c r="J233" s="20">
        <v>31.5</v>
      </c>
    </row>
    <row r="236" spans="3:10" x14ac:dyDescent="0.3">
      <c r="C236" s="4" t="s">
        <v>99</v>
      </c>
    </row>
    <row r="237" spans="3:10" x14ac:dyDescent="0.3">
      <c r="C237" t="s">
        <v>100</v>
      </c>
    </row>
    <row r="239" spans="3:10" x14ac:dyDescent="0.3">
      <c r="C239" s="24" t="str" cm="1">
        <f t="array" ref="C239:C246">TRANSPOSE(_xlfn.XLOOKUP(D231,staff[Emp ID], staff[]))</f>
        <v>Rajini COTH</v>
      </c>
    </row>
    <row r="240" spans="3:10" x14ac:dyDescent="0.3">
      <c r="C240" s="24" t="str">
        <v>AC0021</v>
      </c>
    </row>
    <row r="241" spans="3:4" x14ac:dyDescent="0.3">
      <c r="C241" s="24" t="str">
        <v>Male</v>
      </c>
    </row>
    <row r="242" spans="3:4" x14ac:dyDescent="0.3">
      <c r="C242" s="24" t="str">
        <v>Diploma</v>
      </c>
    </row>
    <row r="243" spans="3:4" x14ac:dyDescent="0.3">
      <c r="C243" s="25">
        <v>43712</v>
      </c>
    </row>
    <row r="244" spans="3:4" x14ac:dyDescent="0.3">
      <c r="C244" s="24" t="str">
        <v>Packaging Associate</v>
      </c>
    </row>
    <row r="245" spans="3:4" x14ac:dyDescent="0.3">
      <c r="C245" s="26">
        <v>32600</v>
      </c>
    </row>
    <row r="246" spans="3:4" x14ac:dyDescent="0.3">
      <c r="C246" s="24">
        <v>31.5</v>
      </c>
    </row>
    <row r="251" spans="3:4" x14ac:dyDescent="0.3">
      <c r="C251" s="4" t="s">
        <v>101</v>
      </c>
    </row>
    <row r="252" spans="3:4" x14ac:dyDescent="0.3">
      <c r="C252" t="s">
        <v>102</v>
      </c>
    </row>
    <row r="254" spans="3:4" x14ac:dyDescent="0.3">
      <c r="C254" s="27" t="s">
        <v>103</v>
      </c>
      <c r="D254" s="28" t="s">
        <v>107</v>
      </c>
    </row>
    <row r="256" spans="3:4" x14ac:dyDescent="0.3">
      <c r="C256" s="5" t="s">
        <v>104</v>
      </c>
      <c r="D256" s="5" t="str">
        <f>_xlfn.XLOOKUP(D254&amp;"*",staff[Name],staff[Name],,2)</f>
        <v>Harry S TRUEman</v>
      </c>
    </row>
    <row r="257" spans="3:4" x14ac:dyDescent="0.3">
      <c r="C257" s="5" t="s">
        <v>4</v>
      </c>
      <c r="D257" s="23">
        <f>_xlfn.XLOOKUP(D254&amp;"*",staff[Name],staff[Date of Join],,2)</f>
        <v>44777</v>
      </c>
    </row>
    <row r="260" spans="3:4" x14ac:dyDescent="0.3">
      <c r="C260" s="4" t="s">
        <v>106</v>
      </c>
    </row>
    <row r="261" spans="3:4" x14ac:dyDescent="0.3">
      <c r="C261" t="s">
        <v>105</v>
      </c>
    </row>
    <row r="264" spans="3:4" x14ac:dyDescent="0.3">
      <c r="C264" s="5" t="s">
        <v>104</v>
      </c>
      <c r="D264" s="29" t="e" cm="1" vm="2">
        <f t="array" aca="1" ref="D264" ca="1">TRANSPOSE(_xlfn.CHOOSECOLS(_xlfn.XLOOKUP(D254&amp;"*",staff[Name], staff[],,2),1,5))</f>
        <v>#NAME?</v>
      </c>
    </row>
    <row r="265" spans="3:4" x14ac:dyDescent="0.3">
      <c r="C265" s="5" t="s">
        <v>4</v>
      </c>
      <c r="D265" s="30"/>
    </row>
    <row r="269" spans="3:4" x14ac:dyDescent="0.3">
      <c r="C269" s="4" t="s">
        <v>108</v>
      </c>
    </row>
    <row r="270" spans="3:4" x14ac:dyDescent="0.3">
      <c r="C270" t="s">
        <v>109</v>
      </c>
    </row>
    <row r="272" spans="3:4" x14ac:dyDescent="0.3">
      <c r="C272" s="27" t="s">
        <v>6</v>
      </c>
      <c r="D272" s="32">
        <v>58000</v>
      </c>
    </row>
    <row r="275" spans="3:4" x14ac:dyDescent="0.3">
      <c r="C275" s="27" t="s">
        <v>0</v>
      </c>
      <c r="D275" s="33" t="str">
        <f>_xlfn.XLOOKUP(D272,staff[Salary],staff[Name],,1)</f>
        <v>Richard Function</v>
      </c>
    </row>
    <row r="280" spans="3:4" x14ac:dyDescent="0.3">
      <c r="C280" s="4" t="s">
        <v>112</v>
      </c>
    </row>
    <row r="281" spans="3:4" x14ac:dyDescent="0.3">
      <c r="C281" t="s">
        <v>110</v>
      </c>
    </row>
    <row r="283" spans="3:4" x14ac:dyDescent="0.3">
      <c r="C283" s="27" t="s">
        <v>2</v>
      </c>
      <c r="D283" s="32" t="s">
        <v>13</v>
      </c>
    </row>
    <row r="284" spans="3:4" x14ac:dyDescent="0.3">
      <c r="C284" s="27" t="s">
        <v>5</v>
      </c>
      <c r="D284" s="32" t="s">
        <v>37</v>
      </c>
    </row>
    <row r="287" spans="3:4" x14ac:dyDescent="0.3">
      <c r="C287" s="34" t="s">
        <v>111</v>
      </c>
    </row>
    <row r="288" spans="3:4" x14ac:dyDescent="0.3">
      <c r="C288" s="35" t="str" cm="1">
        <f t="array" ref="C288">_xlfn.XLOOKUP(1,(staff[Gender]=D283)*(staff[Job Title]=D284),staff[Name])</f>
        <v>Franklin D Choosevelt</v>
      </c>
    </row>
    <row r="293" spans="3:4" x14ac:dyDescent="0.3">
      <c r="C293" s="4" t="s">
        <v>114</v>
      </c>
    </row>
    <row r="294" spans="3:4" x14ac:dyDescent="0.3">
      <c r="C294" t="s">
        <v>113</v>
      </c>
    </row>
    <row r="296" spans="3:4" x14ac:dyDescent="0.3">
      <c r="C296" s="27" t="s">
        <v>115</v>
      </c>
      <c r="D296" s="36">
        <v>44640</v>
      </c>
    </row>
    <row r="297" spans="3:4" x14ac:dyDescent="0.3">
      <c r="C297" s="27" t="s">
        <v>116</v>
      </c>
      <c r="D297" s="36">
        <v>44926</v>
      </c>
    </row>
    <row r="300" spans="3:4" x14ac:dyDescent="0.3">
      <c r="C300" s="34" t="s">
        <v>111</v>
      </c>
    </row>
    <row r="301" spans="3:4" x14ac:dyDescent="0.3">
      <c r="C301" s="35" t="str" cm="1">
        <f t="array" ref="C301">_xlfn.XLOOKUP(1,(staff[Date of Join]&gt;=D296)*(staff[Date of Join]&lt;=D297),staff[Name])</f>
        <v>Fill Clinton</v>
      </c>
    </row>
    <row r="306" spans="3:5" x14ac:dyDescent="0.3">
      <c r="C306" s="4" t="s">
        <v>117</v>
      </c>
    </row>
    <row r="307" spans="3:5" x14ac:dyDescent="0.3">
      <c r="C307" t="s">
        <v>118</v>
      </c>
    </row>
    <row r="309" spans="3:5" x14ac:dyDescent="0.3">
      <c r="C309" s="38" t="s">
        <v>119</v>
      </c>
      <c r="E309" s="46" t="s">
        <v>119</v>
      </c>
    </row>
    <row r="310" spans="3:5" x14ac:dyDescent="0.3">
      <c r="C310" s="37" t="str" cm="1">
        <f t="array" ref="C310:C317">TRANSPOSE(_xlfn.XLOOKUP(MAX(staff[Salary]),staff[Salary],staff[]))</f>
        <v>Abraham LinColumn</v>
      </c>
      <c r="E310" s="47" t="e" cm="1" vm="2">
        <f t="array" aca="1" ref="E310" ca="1">TRANSPOSE(_xlfn.TAKE(_xlfn._xlws.SORT(staff[],7,-1),1))</f>
        <v>#NAME?</v>
      </c>
    </row>
    <row r="311" spans="3:5" x14ac:dyDescent="0.3">
      <c r="C311" s="37" t="str">
        <v>AC0010</v>
      </c>
      <c r="E311" s="47"/>
    </row>
    <row r="312" spans="3:5" x14ac:dyDescent="0.3">
      <c r="C312" s="37" t="str">
        <v>Male</v>
      </c>
      <c r="E312" s="47"/>
    </row>
    <row r="313" spans="3:5" x14ac:dyDescent="0.3">
      <c r="C313" s="37" t="str">
        <v>Master's Degree</v>
      </c>
      <c r="E313" s="47"/>
    </row>
    <row r="314" spans="3:5" x14ac:dyDescent="0.3">
      <c r="C314" s="25">
        <v>43641</v>
      </c>
      <c r="E314" s="48"/>
    </row>
    <row r="315" spans="3:5" x14ac:dyDescent="0.3">
      <c r="C315" s="24" t="str">
        <v>Product Manager</v>
      </c>
      <c r="E315" s="48"/>
    </row>
    <row r="316" spans="3:5" x14ac:dyDescent="0.3">
      <c r="C316" s="26">
        <v>82900</v>
      </c>
      <c r="E316" s="48"/>
    </row>
    <row r="317" spans="3:5" x14ac:dyDescent="0.3">
      <c r="C317" s="24">
        <v>31.1</v>
      </c>
      <c r="E317" s="48"/>
    </row>
    <row r="323" spans="3:3" x14ac:dyDescent="0.3">
      <c r="C323" s="4" t="s">
        <v>121</v>
      </c>
    </row>
    <row r="324" spans="3:3" x14ac:dyDescent="0.3">
      <c r="C324" t="s">
        <v>120</v>
      </c>
    </row>
    <row r="327" spans="3:3" x14ac:dyDescent="0.3">
      <c r="C327" s="38" t="s">
        <v>119</v>
      </c>
    </row>
    <row r="328" spans="3:3" x14ac:dyDescent="0.3">
      <c r="C328" s="37" t="str" cm="1">
        <f t="array" ref="C328:C335">TRANSPOSE(_xlfn.XLOOKUP(MIN(staff[Date of Join]),staff[Date of Join], staff[]))</f>
        <v>Shahrukh SCAN</v>
      </c>
    </row>
    <row r="329" spans="3:3" x14ac:dyDescent="0.3">
      <c r="C329" s="37" t="str">
        <v>AC0019</v>
      </c>
    </row>
    <row r="330" spans="3:3" x14ac:dyDescent="0.3">
      <c r="C330" s="37" t="str">
        <v>Male</v>
      </c>
    </row>
    <row r="331" spans="3:3" x14ac:dyDescent="0.3">
      <c r="C331" s="37" t="str">
        <v>Master's Degree</v>
      </c>
    </row>
    <row r="332" spans="3:3" x14ac:dyDescent="0.3">
      <c r="C332" s="25">
        <v>42931</v>
      </c>
    </row>
    <row r="333" spans="3:3" x14ac:dyDescent="0.3">
      <c r="C333" s="24" t="str">
        <v>Product Manager</v>
      </c>
    </row>
    <row r="334" spans="3:3" x14ac:dyDescent="0.3">
      <c r="C334" s="26">
        <v>82700</v>
      </c>
    </row>
    <row r="335" spans="3:3" x14ac:dyDescent="0.3">
      <c r="C335" s="24">
        <v>33.5</v>
      </c>
    </row>
    <row r="339" spans="3:4" x14ac:dyDescent="0.3">
      <c r="C339" s="4" t="s">
        <v>122</v>
      </c>
    </row>
    <row r="340" spans="3:4" x14ac:dyDescent="0.3">
      <c r="C340" t="s">
        <v>123</v>
      </c>
    </row>
    <row r="342" spans="3:4" x14ac:dyDescent="0.3">
      <c r="C342" s="27" t="s">
        <v>124</v>
      </c>
      <c r="D342" s="31" t="s">
        <v>15</v>
      </c>
    </row>
    <row r="344" spans="3:4" x14ac:dyDescent="0.3">
      <c r="C344" s="27" t="s">
        <v>0</v>
      </c>
      <c r="D344" s="33" t="str" cm="1">
        <f t="array" ref="D344">INDEX(_xlfn._xlws.FILTER(staff[Name],staff[Job Title]=D342),2)</f>
        <v>Jimmy Charter</v>
      </c>
    </row>
    <row r="347" spans="3:4" x14ac:dyDescent="0.3">
      <c r="C347" s="4" t="s">
        <v>125</v>
      </c>
    </row>
    <row r="348" spans="3:4" x14ac:dyDescent="0.3">
      <c r="C348" t="s">
        <v>126</v>
      </c>
    </row>
    <row r="350" spans="3:4" x14ac:dyDescent="0.3">
      <c r="C350" s="27" t="s">
        <v>127</v>
      </c>
      <c r="D350" s="37" t="str" cm="1">
        <f t="array" ref="D350:D354">_xlfn._xlws.FILTER(staff[Name],staff[Job Title]=D342)</f>
        <v>Large Bush</v>
      </c>
    </row>
    <row r="351" spans="3:4" x14ac:dyDescent="0.3">
      <c r="D351" s="37" t="str">
        <v>Jimmy Charter</v>
      </c>
    </row>
    <row r="352" spans="3:4" x14ac:dyDescent="0.3">
      <c r="D352" s="37" t="str">
        <v>John IF Kennedy</v>
      </c>
    </row>
    <row r="353" spans="4:4" x14ac:dyDescent="0.3">
      <c r="D353" s="37" t="str">
        <v>Aishwarya ROW</v>
      </c>
    </row>
    <row r="354" spans="4:4" x14ac:dyDescent="0.3">
      <c r="D354" s="37" t="str">
        <v>ShaHIDE Kapoor</v>
      </c>
    </row>
    <row r="355" spans="4:4" x14ac:dyDescent="0.3">
      <c r="D355" s="37"/>
    </row>
    <row r="356" spans="4:4" x14ac:dyDescent="0.3">
      <c r="D356" s="37"/>
    </row>
    <row r="357" spans="4:4" x14ac:dyDescent="0.3">
      <c r="D357" s="37"/>
    </row>
    <row r="358" spans="4:4" x14ac:dyDescent="0.3">
      <c r="D358" s="37"/>
    </row>
    <row r="359" spans="4:4" x14ac:dyDescent="0.3">
      <c r="D359" s="37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 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ajsonu331@gmail.com</cp:lastModifiedBy>
  <dcterms:created xsi:type="dcterms:W3CDTF">2021-03-14T20:21:32Z</dcterms:created>
  <dcterms:modified xsi:type="dcterms:W3CDTF">2026-09-11T13:30:26Z</dcterms:modified>
</cp:coreProperties>
</file>