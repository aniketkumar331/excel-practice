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b20a94b0655f61/Desktop/DA/"/>
    </mc:Choice>
  </mc:AlternateContent>
  <xr:revisionPtr revIDLastSave="31" documentId="8_{41FEBEEC-DB70-4BA2-9314-FB6ADCFB9FCC}" xr6:coauthVersionLast="47" xr6:coauthVersionMax="47" xr10:uidLastSave="{98DEC4FE-09C4-4EB8-B7CA-6492DBE826E6}"/>
  <bookViews>
    <workbookView xWindow="-108" yWindow="-108" windowWidth="23256" windowHeight="12456" xr2:uid="{B571C317-63D8-4B40-98EB-115A7D3489C2}"/>
  </bookViews>
  <sheets>
    <sheet name="Sheet1" sheetId="1" r:id="rId1"/>
  </sheets>
  <definedNames>
    <definedName name="_xlnm._FilterDatabase" localSheetId="0" hidden="1">Sheet1!$N$1:$U$17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L20" i="1"/>
  <c r="J22" i="1"/>
  <c r="J21" i="1"/>
  <c r="H22" i="1"/>
  <c r="H21" i="1"/>
  <c r="H20" i="1"/>
  <c r="F20" i="1"/>
  <c r="E21" i="1"/>
  <c r="E20" i="1"/>
  <c r="J2" i="1"/>
  <c r="K1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K18" i="1"/>
  <c r="J18" i="1"/>
  <c r="I18" i="1"/>
  <c r="E17" i="1"/>
  <c r="L18" i="1" s="1"/>
</calcChain>
</file>

<file path=xl/sharedStrings.xml><?xml version="1.0" encoding="utf-8"?>
<sst xmlns="http://schemas.openxmlformats.org/spreadsheetml/2006/main" count="71" uniqueCount="23">
  <si>
    <t>Employee ID</t>
  </si>
  <si>
    <t>Employee</t>
  </si>
  <si>
    <t>Department</t>
  </si>
  <si>
    <t>Age</t>
  </si>
  <si>
    <t>Monthly Sales</t>
  </si>
  <si>
    <t>Attendance %</t>
  </si>
  <si>
    <t>Experience (Years)</t>
  </si>
  <si>
    <t>Amit</t>
  </si>
  <si>
    <t>Sales</t>
  </si>
  <si>
    <t>Priya</t>
  </si>
  <si>
    <t>HR</t>
  </si>
  <si>
    <t>Rahul</t>
  </si>
  <si>
    <t>IT</t>
  </si>
  <si>
    <t>Neha</t>
  </si>
  <si>
    <t>Vikram</t>
  </si>
  <si>
    <t>Sneha</t>
  </si>
  <si>
    <t>Karan</t>
  </si>
  <si>
    <t>Finance</t>
  </si>
  <si>
    <t>Pooja</t>
  </si>
  <si>
    <t>Rohit</t>
  </si>
  <si>
    <t>Arjun</t>
  </si>
  <si>
    <t>Meena</t>
  </si>
  <si>
    <t>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</si>
</sst>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9" fontId="0" fillId="0" borderId="0" xfId="1" applyFont="1"/>
    <xf numFmtId="22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55F1-03EB-4D30-97B2-AC72DDD0A63B}">
  <dimension ref="A1:U22"/>
  <sheetViews>
    <sheetView tabSelected="1" workbookViewId="0">
      <selection activeCell="P23" sqref="P23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1.109375" bestFit="1" customWidth="1"/>
    <col min="5" max="5" width="12.88671875" bestFit="1" customWidth="1"/>
    <col min="6" max="6" width="12.6640625" bestFit="1" customWidth="1"/>
    <col min="7" max="7" width="16.44140625" bestFit="1" customWidth="1"/>
    <col min="14" max="14" width="15.44140625" bestFit="1" customWidth="1"/>
    <col min="15" max="15" width="11.5546875" bestFit="1" customWidth="1"/>
    <col min="16" max="16" width="9.33203125" bestFit="1" customWidth="1"/>
    <col min="17" max="17" width="11.109375" bestFit="1" customWidth="1"/>
    <col min="19" max="19" width="12.88671875" bestFit="1" customWidth="1"/>
    <col min="20" max="20" width="12.6640625" bestFit="1" customWidth="1"/>
    <col min="21" max="21" width="16.44140625" bestFit="1" customWidth="1"/>
  </cols>
  <sheetData>
    <row r="1" spans="1:2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1" ht="15" thickBot="1" x14ac:dyDescent="0.35">
      <c r="A2" s="2">
        <v>1001</v>
      </c>
      <c r="B2" s="2" t="s">
        <v>7</v>
      </c>
      <c r="C2" s="2" t="s">
        <v>8</v>
      </c>
      <c r="D2" s="2">
        <v>24</v>
      </c>
      <c r="E2" s="2">
        <v>32000</v>
      </c>
      <c r="F2" s="2">
        <v>92</v>
      </c>
      <c r="G2" s="2">
        <v>1</v>
      </c>
      <c r="I2" t="str">
        <f>IF(AND(D2&gt;24,F2&gt;80),"bonus"," ")</f>
        <v xml:space="preserve"> </v>
      </c>
      <c r="J2" t="str">
        <f>IF(OR(E2&gt;40000,F2&gt;80),"pass","fail")</f>
        <v>pass</v>
      </c>
      <c r="K2" s="3">
        <f>E2/$E$17</f>
        <v>5.1036682615629984E-2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</row>
    <row r="3" spans="1:21" x14ac:dyDescent="0.3">
      <c r="A3" s="2">
        <v>1002</v>
      </c>
      <c r="B3" s="2" t="s">
        <v>9</v>
      </c>
      <c r="C3" s="2" t="s">
        <v>10</v>
      </c>
      <c r="D3" s="2">
        <v>29</v>
      </c>
      <c r="E3" s="2">
        <v>28000</v>
      </c>
      <c r="F3" s="2">
        <v>88</v>
      </c>
      <c r="G3" s="2">
        <v>4</v>
      </c>
      <c r="I3" t="str">
        <f t="shared" ref="I3:I16" si="0">IF(AND(D3&gt;24,F3&gt;80),"bonus"," ")</f>
        <v>bonus</v>
      </c>
      <c r="J3" t="str">
        <f t="shared" ref="J3:J16" si="1">IF(OR(E3&gt;40000,F3&gt;80),"pass","fail")</f>
        <v>pass</v>
      </c>
      <c r="K3" s="3">
        <f>E3/$E$17</f>
        <v>4.4657097288676235E-2</v>
      </c>
      <c r="O3" s="2">
        <v>1002</v>
      </c>
      <c r="P3" s="2" t="s">
        <v>9</v>
      </c>
      <c r="Q3" s="2" t="s">
        <v>10</v>
      </c>
      <c r="R3" s="2">
        <v>29</v>
      </c>
      <c r="S3" s="2">
        <v>28000</v>
      </c>
      <c r="T3" s="2">
        <v>88</v>
      </c>
      <c r="U3" s="2">
        <v>4</v>
      </c>
    </row>
    <row r="4" spans="1:21" x14ac:dyDescent="0.3">
      <c r="A4" s="2">
        <v>1003</v>
      </c>
      <c r="B4" s="2" t="s">
        <v>11</v>
      </c>
      <c r="C4" s="2" t="s">
        <v>12</v>
      </c>
      <c r="D4" s="2">
        <v>31</v>
      </c>
      <c r="E4" s="2">
        <v>45000</v>
      </c>
      <c r="F4" s="2">
        <v>95</v>
      </c>
      <c r="G4" s="2">
        <v>6</v>
      </c>
      <c r="I4" t="str">
        <f t="shared" si="0"/>
        <v>bonus</v>
      </c>
      <c r="J4" t="str">
        <f t="shared" si="1"/>
        <v>pass</v>
      </c>
      <c r="K4" s="3">
        <f t="shared" ref="K4:K16" si="2">E4/$E$17</f>
        <v>7.1770334928229665E-2</v>
      </c>
      <c r="O4" s="2">
        <v>1011</v>
      </c>
      <c r="P4" s="2" t="s">
        <v>13</v>
      </c>
      <c r="Q4" s="2" t="s">
        <v>10</v>
      </c>
      <c r="R4" s="2">
        <v>26</v>
      </c>
      <c r="S4" s="2">
        <v>28000</v>
      </c>
      <c r="T4" s="2">
        <v>76</v>
      </c>
      <c r="U4" s="2">
        <v>2</v>
      </c>
    </row>
    <row r="5" spans="1:21" x14ac:dyDescent="0.3">
      <c r="A5" s="2">
        <v>1004</v>
      </c>
      <c r="B5" s="2" t="s">
        <v>13</v>
      </c>
      <c r="C5" s="2" t="s">
        <v>8</v>
      </c>
      <c r="D5" s="2">
        <v>26</v>
      </c>
      <c r="E5" s="2">
        <v>38000</v>
      </c>
      <c r="F5" s="2">
        <v>76</v>
      </c>
      <c r="G5" s="2">
        <v>2</v>
      </c>
      <c r="I5" t="str">
        <f t="shared" si="0"/>
        <v xml:space="preserve"> </v>
      </c>
      <c r="J5" t="str">
        <f t="shared" si="1"/>
        <v>fail</v>
      </c>
      <c r="K5" s="3">
        <f t="shared" si="2"/>
        <v>6.0606060606060608E-2</v>
      </c>
      <c r="O5" s="2">
        <v>1006</v>
      </c>
      <c r="P5" s="2" t="s">
        <v>15</v>
      </c>
      <c r="Q5" s="2" t="s">
        <v>10</v>
      </c>
      <c r="R5" s="2">
        <v>28</v>
      </c>
      <c r="S5" s="2">
        <v>30000</v>
      </c>
      <c r="T5" s="2">
        <v>84</v>
      </c>
      <c r="U5" s="2">
        <v>3</v>
      </c>
    </row>
    <row r="6" spans="1:21" x14ac:dyDescent="0.3">
      <c r="A6" s="2">
        <v>1005</v>
      </c>
      <c r="B6" s="2" t="s">
        <v>14</v>
      </c>
      <c r="C6" s="2" t="s">
        <v>12</v>
      </c>
      <c r="D6" s="2">
        <v>35</v>
      </c>
      <c r="E6" s="2">
        <v>52000</v>
      </c>
      <c r="F6" s="2">
        <v>91</v>
      </c>
      <c r="G6" s="2">
        <v>10</v>
      </c>
      <c r="I6" t="str">
        <f t="shared" si="0"/>
        <v>bonus</v>
      </c>
      <c r="J6" t="str">
        <f t="shared" si="1"/>
        <v>pass</v>
      </c>
      <c r="K6" s="3">
        <f t="shared" si="2"/>
        <v>8.2934609250398722E-2</v>
      </c>
      <c r="O6" s="2">
        <v>1001</v>
      </c>
      <c r="P6" s="2" t="s">
        <v>7</v>
      </c>
      <c r="Q6" s="2" t="s">
        <v>8</v>
      </c>
      <c r="R6" s="2">
        <v>24</v>
      </c>
      <c r="S6" s="2">
        <v>32000</v>
      </c>
      <c r="T6" s="2">
        <v>92</v>
      </c>
      <c r="U6" s="2">
        <v>1</v>
      </c>
    </row>
    <row r="7" spans="1:21" x14ac:dyDescent="0.3">
      <c r="A7" s="2">
        <v>1006</v>
      </c>
      <c r="B7" s="2" t="s">
        <v>15</v>
      </c>
      <c r="C7" s="2" t="s">
        <v>10</v>
      </c>
      <c r="D7" s="2">
        <v>28</v>
      </c>
      <c r="E7" s="2">
        <v>30000</v>
      </c>
      <c r="F7" s="2">
        <v>84</v>
      </c>
      <c r="G7" s="2">
        <v>3</v>
      </c>
      <c r="I7" t="str">
        <f t="shared" si="0"/>
        <v>bonus</v>
      </c>
      <c r="J7" t="str">
        <f t="shared" si="1"/>
        <v>pass</v>
      </c>
      <c r="K7" s="3">
        <f t="shared" si="2"/>
        <v>4.784688995215311E-2</v>
      </c>
      <c r="O7" s="2">
        <v>1015</v>
      </c>
      <c r="P7" s="2" t="s">
        <v>22</v>
      </c>
      <c r="Q7" s="2" t="s">
        <v>8</v>
      </c>
      <c r="R7" s="2">
        <v>25</v>
      </c>
      <c r="S7" s="2">
        <v>36000</v>
      </c>
      <c r="T7" s="2">
        <v>82</v>
      </c>
      <c r="U7" s="2">
        <v>2</v>
      </c>
    </row>
    <row r="8" spans="1:21" x14ac:dyDescent="0.3">
      <c r="A8" s="2">
        <v>1007</v>
      </c>
      <c r="B8" s="2" t="s">
        <v>7</v>
      </c>
      <c r="C8" s="2" t="s">
        <v>8</v>
      </c>
      <c r="D8" s="2">
        <v>24</v>
      </c>
      <c r="E8" s="2">
        <v>32000</v>
      </c>
      <c r="F8" s="2">
        <v>92</v>
      </c>
      <c r="G8" s="2">
        <v>1</v>
      </c>
      <c r="I8" t="str">
        <f t="shared" si="0"/>
        <v xml:space="preserve"> </v>
      </c>
      <c r="J8" t="str">
        <f t="shared" si="1"/>
        <v>pass</v>
      </c>
      <c r="K8" s="3">
        <f t="shared" si="2"/>
        <v>5.1036682615629984E-2</v>
      </c>
      <c r="O8" s="2">
        <v>1004</v>
      </c>
      <c r="P8" s="2" t="s">
        <v>13</v>
      </c>
      <c r="Q8" s="2" t="s">
        <v>8</v>
      </c>
      <c r="R8" s="2">
        <v>26</v>
      </c>
      <c r="S8" s="2">
        <v>38000</v>
      </c>
      <c r="T8" s="2">
        <v>76</v>
      </c>
      <c r="U8" s="2">
        <v>2</v>
      </c>
    </row>
    <row r="9" spans="1:21" x14ac:dyDescent="0.3">
      <c r="A9" s="2">
        <v>1008</v>
      </c>
      <c r="B9" s="2" t="s">
        <v>16</v>
      </c>
      <c r="C9" s="2" t="s">
        <v>17</v>
      </c>
      <c r="D9" s="2">
        <v>40</v>
      </c>
      <c r="E9" s="2">
        <v>60000</v>
      </c>
      <c r="F9" s="2">
        <v>97</v>
      </c>
      <c r="G9" s="2">
        <v>15</v>
      </c>
      <c r="I9" t="str">
        <f t="shared" si="0"/>
        <v>bonus</v>
      </c>
      <c r="J9" t="str">
        <f t="shared" si="1"/>
        <v>pass</v>
      </c>
      <c r="K9" s="3">
        <f t="shared" si="2"/>
        <v>9.569377990430622E-2</v>
      </c>
      <c r="O9" s="2">
        <v>1009</v>
      </c>
      <c r="P9" s="2" t="s">
        <v>18</v>
      </c>
      <c r="Q9" s="2" t="s">
        <v>12</v>
      </c>
      <c r="R9" s="2">
        <v>27</v>
      </c>
      <c r="S9" s="2">
        <v>41000</v>
      </c>
      <c r="T9" s="2">
        <v>89</v>
      </c>
      <c r="U9" s="2">
        <v>4</v>
      </c>
    </row>
    <row r="10" spans="1:21" x14ac:dyDescent="0.3">
      <c r="A10" s="2">
        <v>1009</v>
      </c>
      <c r="B10" s="2" t="s">
        <v>18</v>
      </c>
      <c r="C10" s="2" t="s">
        <v>12</v>
      </c>
      <c r="D10" s="2">
        <v>27</v>
      </c>
      <c r="E10" s="2">
        <v>41000</v>
      </c>
      <c r="F10" s="2">
        <v>89</v>
      </c>
      <c r="G10" s="2">
        <v>4</v>
      </c>
      <c r="I10" t="str">
        <f t="shared" si="0"/>
        <v>bonus</v>
      </c>
      <c r="J10" t="str">
        <f t="shared" si="1"/>
        <v>pass</v>
      </c>
      <c r="K10" s="3">
        <f t="shared" si="2"/>
        <v>6.5390749601275916E-2</v>
      </c>
      <c r="O10" s="2">
        <v>1013</v>
      </c>
      <c r="P10" s="2" t="s">
        <v>21</v>
      </c>
      <c r="Q10" s="2" t="s">
        <v>12</v>
      </c>
      <c r="R10" s="2">
        <v>29</v>
      </c>
      <c r="S10" s="2">
        <v>43000</v>
      </c>
      <c r="T10" s="2">
        <v>90</v>
      </c>
      <c r="U10" s="2">
        <v>5</v>
      </c>
    </row>
    <row r="11" spans="1:21" x14ac:dyDescent="0.3">
      <c r="A11" s="2">
        <v>1010</v>
      </c>
      <c r="B11" s="2" t="s">
        <v>19</v>
      </c>
      <c r="C11" s="2" t="s">
        <v>8</v>
      </c>
      <c r="D11" s="2">
        <v>33</v>
      </c>
      <c r="E11" s="2">
        <v>47000</v>
      </c>
      <c r="F11" s="2">
        <v>94</v>
      </c>
      <c r="G11" s="2">
        <v>8</v>
      </c>
      <c r="I11" t="str">
        <f t="shared" si="0"/>
        <v>bonus</v>
      </c>
      <c r="J11" t="str">
        <f t="shared" si="1"/>
        <v>pass</v>
      </c>
      <c r="K11" s="3">
        <f t="shared" si="2"/>
        <v>7.4960127591706532E-2</v>
      </c>
      <c r="O11" s="2">
        <v>1003</v>
      </c>
      <c r="P11" s="2" t="s">
        <v>11</v>
      </c>
      <c r="Q11" s="2" t="s">
        <v>12</v>
      </c>
      <c r="R11" s="2">
        <v>31</v>
      </c>
      <c r="S11" s="2">
        <v>45000</v>
      </c>
      <c r="T11" s="2">
        <v>95</v>
      </c>
      <c r="U11" s="2">
        <v>6</v>
      </c>
    </row>
    <row r="12" spans="1:21" x14ac:dyDescent="0.3">
      <c r="A12" s="2">
        <v>1011</v>
      </c>
      <c r="B12" s="2" t="s">
        <v>13</v>
      </c>
      <c r="C12" s="2" t="s">
        <v>10</v>
      </c>
      <c r="D12" s="2">
        <v>26</v>
      </c>
      <c r="E12" s="2">
        <v>28000</v>
      </c>
      <c r="F12" s="2">
        <v>76</v>
      </c>
      <c r="G12" s="2">
        <v>2</v>
      </c>
      <c r="I12" t="str">
        <f t="shared" si="0"/>
        <v xml:space="preserve"> </v>
      </c>
      <c r="J12" t="str">
        <f t="shared" si="1"/>
        <v>fail</v>
      </c>
      <c r="K12" s="3">
        <f t="shared" si="2"/>
        <v>4.4657097288676235E-2</v>
      </c>
      <c r="O12" s="2">
        <v>1010</v>
      </c>
      <c r="P12" s="2" t="s">
        <v>19</v>
      </c>
      <c r="Q12" s="2" t="s">
        <v>8</v>
      </c>
      <c r="R12" s="2">
        <v>33</v>
      </c>
      <c r="S12" s="2">
        <v>47000</v>
      </c>
      <c r="T12" s="2">
        <v>94</v>
      </c>
      <c r="U12" s="2">
        <v>8</v>
      </c>
    </row>
    <row r="13" spans="1:21" x14ac:dyDescent="0.3">
      <c r="A13" s="2">
        <v>1012</v>
      </c>
      <c r="B13" s="2" t="s">
        <v>20</v>
      </c>
      <c r="C13" s="2" t="s">
        <v>17</v>
      </c>
      <c r="D13" s="2">
        <v>30</v>
      </c>
      <c r="E13" s="2">
        <v>55000</v>
      </c>
      <c r="F13" s="2">
        <v>96</v>
      </c>
      <c r="G13" s="2">
        <v>7</v>
      </c>
      <c r="I13" t="str">
        <f t="shared" si="0"/>
        <v>bonus</v>
      </c>
      <c r="J13" t="str">
        <f t="shared" si="1"/>
        <v>pass</v>
      </c>
      <c r="K13" s="3">
        <f t="shared" si="2"/>
        <v>8.771929824561403E-2</v>
      </c>
      <c r="O13" s="2">
        <v>1005</v>
      </c>
      <c r="P13" s="2" t="s">
        <v>14</v>
      </c>
      <c r="Q13" s="2" t="s">
        <v>12</v>
      </c>
      <c r="R13" s="2">
        <v>35</v>
      </c>
      <c r="S13" s="2">
        <v>52000</v>
      </c>
      <c r="T13" s="2">
        <v>91</v>
      </c>
      <c r="U13" s="2">
        <v>10</v>
      </c>
    </row>
    <row r="14" spans="1:21" x14ac:dyDescent="0.3">
      <c r="A14" s="2">
        <v>1013</v>
      </c>
      <c r="B14" s="2" t="s">
        <v>21</v>
      </c>
      <c r="C14" s="2" t="s">
        <v>12</v>
      </c>
      <c r="D14" s="2">
        <v>29</v>
      </c>
      <c r="E14" s="2">
        <v>43000</v>
      </c>
      <c r="F14" s="2">
        <v>90</v>
      </c>
      <c r="G14" s="2">
        <v>5</v>
      </c>
      <c r="I14" t="str">
        <f t="shared" si="0"/>
        <v>bonus</v>
      </c>
      <c r="J14" t="str">
        <f t="shared" si="1"/>
        <v>pass</v>
      </c>
      <c r="K14" s="3">
        <f t="shared" si="2"/>
        <v>6.8580542264752797E-2</v>
      </c>
      <c r="O14" s="2">
        <v>1012</v>
      </c>
      <c r="P14" s="2" t="s">
        <v>20</v>
      </c>
      <c r="Q14" s="2" t="s">
        <v>17</v>
      </c>
      <c r="R14" s="2">
        <v>30</v>
      </c>
      <c r="S14" s="2">
        <v>55000</v>
      </c>
      <c r="T14" s="2">
        <v>96</v>
      </c>
      <c r="U14" s="2">
        <v>7</v>
      </c>
    </row>
    <row r="15" spans="1:21" x14ac:dyDescent="0.3">
      <c r="A15" s="2">
        <v>1014</v>
      </c>
      <c r="B15" s="2" t="s">
        <v>16</v>
      </c>
      <c r="C15" s="2" t="s">
        <v>17</v>
      </c>
      <c r="D15" s="2">
        <v>40</v>
      </c>
      <c r="E15" s="2">
        <v>60000</v>
      </c>
      <c r="F15" s="2">
        <v>97</v>
      </c>
      <c r="G15" s="2">
        <v>15</v>
      </c>
      <c r="I15" t="str">
        <f t="shared" si="0"/>
        <v>bonus</v>
      </c>
      <c r="J15" t="str">
        <f t="shared" si="1"/>
        <v>pass</v>
      </c>
      <c r="K15" s="3">
        <f t="shared" si="2"/>
        <v>9.569377990430622E-2</v>
      </c>
      <c r="O15" s="2">
        <v>1008</v>
      </c>
      <c r="P15" s="2" t="s">
        <v>16</v>
      </c>
      <c r="Q15" s="2" t="s">
        <v>17</v>
      </c>
      <c r="R15" s="2">
        <v>40</v>
      </c>
      <c r="S15" s="2">
        <v>60000</v>
      </c>
      <c r="T15" s="2">
        <v>97</v>
      </c>
      <c r="U15" s="2">
        <v>15</v>
      </c>
    </row>
    <row r="16" spans="1:21" x14ac:dyDescent="0.3">
      <c r="A16" s="2">
        <v>1015</v>
      </c>
      <c r="B16" s="2" t="s">
        <v>22</v>
      </c>
      <c r="C16" s="2" t="s">
        <v>8</v>
      </c>
      <c r="D16" s="2">
        <v>25</v>
      </c>
      <c r="E16" s="2">
        <v>36000</v>
      </c>
      <c r="F16" s="2">
        <v>82</v>
      </c>
      <c r="G16" s="2">
        <v>2</v>
      </c>
      <c r="I16" t="str">
        <f t="shared" si="0"/>
        <v>bonus</v>
      </c>
      <c r="J16" t="str">
        <f t="shared" si="1"/>
        <v>pass</v>
      </c>
      <c r="K16" s="3">
        <f t="shared" si="2"/>
        <v>5.7416267942583733E-2</v>
      </c>
    </row>
    <row r="17" spans="4:14" x14ac:dyDescent="0.3">
      <c r="E17">
        <f>SUM(E2:E16)</f>
        <v>627000</v>
      </c>
      <c r="K17" s="3">
        <f>E17/$E$17</f>
        <v>1</v>
      </c>
    </row>
    <row r="18" spans="4:14" x14ac:dyDescent="0.3">
      <c r="I18">
        <f>AVERAGE(E2:E16)</f>
        <v>41800</v>
      </c>
      <c r="J18">
        <f>MAX(E2:E16)</f>
        <v>60000</v>
      </c>
      <c r="K18">
        <f>MIN(E2:E16)</f>
        <v>28000</v>
      </c>
      <c r="L18">
        <f>COUNT(A2:G17)</f>
        <v>76</v>
      </c>
    </row>
    <row r="19" spans="4:14" x14ac:dyDescent="0.3">
      <c r="N19" s="4">
        <f ca="1">NOW()</f>
        <v>46279.81754502315</v>
      </c>
    </row>
    <row r="20" spans="4:14" x14ac:dyDescent="0.3">
      <c r="D20" t="s">
        <v>9</v>
      </c>
      <c r="E20">
        <f>VLOOKUP(D20,B2:G16,6,0)</f>
        <v>4</v>
      </c>
      <c r="F20">
        <f>VLOOKUP(D20,B2:G16,6,0)</f>
        <v>4</v>
      </c>
      <c r="H20" t="str">
        <f>INDEX(B2:B16,MATCH(F20,G2:G16,0))</f>
        <v>Priya</v>
      </c>
      <c r="L20" t="str">
        <f>INDEX(C2:C16,MATCH(E2,E2:E16,0))</f>
        <v>Sales</v>
      </c>
      <c r="N20" s="5">
        <f ca="1">TODAY()</f>
        <v>46279</v>
      </c>
    </row>
    <row r="21" spans="4:14" x14ac:dyDescent="0.3">
      <c r="D21">
        <v>1003</v>
      </c>
      <c r="E21">
        <f>VLOOKUP(D21,A2:G16,5)</f>
        <v>45000</v>
      </c>
      <c r="H21">
        <f>SUMIF(C2:C16,C4,E2:E16)</f>
        <v>181000</v>
      </c>
      <c r="J21">
        <f>COUNTIF(C2:C16,C2)</f>
        <v>5</v>
      </c>
    </row>
    <row r="22" spans="4:14" x14ac:dyDescent="0.3">
      <c r="D22">
        <v>32000</v>
      </c>
      <c r="H22">
        <f>SUMIFS(E2:E16,C2:C16,C2,F2:F16,F2)</f>
        <v>64000</v>
      </c>
      <c r="J22">
        <f>COUNTIFS(C2:C16,C2,E2:E16,E5)</f>
        <v>1</v>
      </c>
    </row>
  </sheetData>
  <sortState xmlns:xlrd2="http://schemas.microsoft.com/office/spreadsheetml/2017/richdata2" ref="O3:U17">
    <sortCondition ref="S3:S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ajsonu331@gmail.com</dc:creator>
  <cp:lastModifiedBy>ajsonu331@gmail.com</cp:lastModifiedBy>
  <dcterms:created xsi:type="dcterms:W3CDTF">2026-09-07T14:12:26Z</dcterms:created>
  <dcterms:modified xsi:type="dcterms:W3CDTF">2026-09-14T14:07:59Z</dcterms:modified>
</cp:coreProperties>
</file>