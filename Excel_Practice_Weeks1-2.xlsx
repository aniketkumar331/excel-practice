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b20a94b0655f61/Desktop/DA/"/>
    </mc:Choice>
  </mc:AlternateContent>
  <xr:revisionPtr revIDLastSave="31" documentId="13_ncr:1_{570F4957-5D4C-467D-B9B6-3E97B59C0515}" xr6:coauthVersionLast="47" xr6:coauthVersionMax="47" xr10:uidLastSave="{47CCC792-3902-498E-B6DD-7EB89F58BBFD}"/>
  <bookViews>
    <workbookView xWindow="-108" yWindow="-108" windowWidth="23256" windowHeight="12456" tabRatio="611" firstSheet="1" activeTab="7" xr2:uid="{00000000-000D-0000-FFFF-FFFF00000000}"/>
  </bookViews>
  <sheets>
    <sheet name="Instructions" sheetId="1" r:id="rId1"/>
    <sheet name="Data" sheetId="2" r:id="rId2"/>
    <sheet name="Sheet1" sheetId="8" r:id="rId3"/>
    <sheet name="Employees" sheetId="3" r:id="rId4"/>
    <sheet name="PriceList" sheetId="4" r:id="rId5"/>
    <sheet name="=" sheetId="5" r:id="rId6"/>
    <sheet name="Week2_Practice" sheetId="6" r:id="rId7"/>
    <sheet name="Answer_Key" sheetId="7" r:id="rId8"/>
    <sheet name="Sheet2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6" l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F21" i="5"/>
  <c r="G20" i="5"/>
  <c r="F20" i="5"/>
  <c r="F18" i="5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2" i="2"/>
  <c r="E21" i="5"/>
  <c r="E20" i="5"/>
  <c r="E19" i="5"/>
  <c r="E18" i="5"/>
  <c r="E17" i="5"/>
  <c r="E16" i="5"/>
  <c r="L1" i="8" a="1"/>
  <c r="L1" i="8" s="1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1" i="9"/>
  <c r="I18" i="8"/>
  <c r="I17" i="8"/>
  <c r="I19" i="8"/>
  <c r="I8" i="8"/>
  <c r="I9" i="8"/>
  <c r="I1" i="8"/>
  <c r="I59" i="8"/>
  <c r="I41" i="8"/>
  <c r="I14" i="8"/>
  <c r="I27" i="8"/>
  <c r="I24" i="8"/>
  <c r="I57" i="8"/>
  <c r="I61" i="8"/>
  <c r="I15" i="8"/>
  <c r="I3" i="8"/>
  <c r="I12" i="8"/>
  <c r="I53" i="8"/>
  <c r="I11" i="8"/>
  <c r="I52" i="8"/>
  <c r="I45" i="8"/>
  <c r="I50" i="8"/>
  <c r="I25" i="8"/>
  <c r="I7" i="8"/>
  <c r="I21" i="8"/>
  <c r="I35" i="8"/>
  <c r="I62" i="8"/>
  <c r="I4" i="8"/>
  <c r="I58" i="8"/>
  <c r="I49" i="8"/>
  <c r="I28" i="8"/>
  <c r="I31" i="8"/>
  <c r="I23" i="8"/>
  <c r="I39" i="8"/>
  <c r="I26" i="8"/>
  <c r="I55" i="8"/>
  <c r="I54" i="8"/>
  <c r="I37" i="8"/>
  <c r="I34" i="8"/>
  <c r="I13" i="8"/>
  <c r="I40" i="8"/>
  <c r="I51" i="8"/>
  <c r="I44" i="8"/>
  <c r="I10" i="8"/>
  <c r="I36" i="8"/>
  <c r="I56" i="8"/>
  <c r="I46" i="8"/>
  <c r="I5" i="8"/>
  <c r="I29" i="8"/>
  <c r="I32" i="8"/>
  <c r="I33" i="8"/>
  <c r="I47" i="8"/>
  <c r="I6" i="8"/>
  <c r="I43" i="8"/>
  <c r="I20" i="8"/>
  <c r="I42" i="8"/>
  <c r="I60" i="8"/>
  <c r="I30" i="8"/>
  <c r="I48" i="8"/>
  <c r="I16" i="8"/>
  <c r="I38" i="8"/>
  <c r="I22" i="8"/>
  <c r="I2" i="8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2" i="2"/>
  <c r="E7" i="5"/>
  <c r="E6" i="5"/>
  <c r="E5" i="5"/>
  <c r="E4" i="5"/>
  <c r="E3" i="5"/>
  <c r="E42" i="7"/>
  <c r="E41" i="7"/>
  <c r="E40" i="7"/>
  <c r="E39" i="7"/>
  <c r="E38" i="7"/>
  <c r="E37" i="7"/>
  <c r="E36" i="7"/>
  <c r="E35" i="7"/>
  <c r="E34" i="7"/>
  <c r="E33" i="7"/>
  <c r="E30" i="7"/>
  <c r="E29" i="7"/>
  <c r="E28" i="7"/>
  <c r="E27" i="7"/>
  <c r="E26" i="7"/>
  <c r="E25" i="7"/>
  <c r="E23" i="7"/>
  <c r="E20" i="7"/>
  <c r="E19" i="7"/>
  <c r="E18" i="7"/>
  <c r="E17" i="7"/>
  <c r="E12" i="7"/>
  <c r="E10" i="7"/>
  <c r="E8" i="7"/>
  <c r="E7" i="7"/>
  <c r="E6" i="7"/>
  <c r="E5" i="7"/>
  <c r="E4" i="7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E22" i="7" s="1"/>
  <c r="I3" i="2"/>
  <c r="E21" i="7" s="1"/>
  <c r="I2" i="2"/>
  <c r="E11" i="7" s="1"/>
  <c r="E31" i="7" l="1"/>
  <c r="E32" i="7"/>
  <c r="E9" i="7"/>
  <c r="K61" i="9"/>
  <c r="K39" i="9"/>
  <c r="K17" i="9"/>
  <c r="K27" i="9"/>
  <c r="K44" i="9"/>
  <c r="K25" i="9"/>
  <c r="K3" i="9"/>
  <c r="K5" i="9"/>
  <c r="K57" i="9"/>
  <c r="K59" i="9"/>
  <c r="K46" i="9"/>
  <c r="K8" i="9"/>
  <c r="K18" i="9"/>
  <c r="K22" i="9"/>
  <c r="K7" i="9"/>
  <c r="K53" i="9"/>
  <c r="K20" i="9"/>
  <c r="K49" i="9"/>
  <c r="K13" i="9"/>
  <c r="K23" i="9"/>
  <c r="K52" i="9"/>
  <c r="K16" i="9"/>
  <c r="K43" i="9"/>
  <c r="K33" i="9"/>
  <c r="K11" i="9"/>
  <c r="K62" i="9"/>
  <c r="K38" i="9"/>
  <c r="K60" i="9"/>
  <c r="K9" i="9"/>
  <c r="K35" i="9"/>
  <c r="K24" i="9"/>
  <c r="K58" i="9"/>
  <c r="K19" i="9"/>
  <c r="K14" i="9"/>
  <c r="K36" i="9"/>
  <c r="K47" i="9"/>
  <c r="K29" i="9"/>
  <c r="K15" i="9"/>
  <c r="K26" i="9"/>
  <c r="K30" i="9"/>
  <c r="K37" i="9"/>
  <c r="K45" i="9"/>
  <c r="K56" i="9"/>
  <c r="K2" i="9"/>
  <c r="K42" i="9"/>
  <c r="K28" i="9"/>
  <c r="K51" i="9"/>
  <c r="K40" i="9"/>
  <c r="K6" i="9"/>
  <c r="K55" i="9"/>
  <c r="K54" i="9"/>
  <c r="K10" i="9"/>
  <c r="K41" i="9"/>
  <c r="K50" i="9"/>
  <c r="K48" i="9"/>
  <c r="K31" i="9"/>
  <c r="K4" i="9"/>
  <c r="K12" i="9"/>
  <c r="K34" i="9"/>
  <c r="K32" i="9"/>
  <c r="K1" i="9"/>
  <c r="K2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<sst xmlns="http://schemas.openxmlformats.org/spreadsheetml/2006/main" count="1286" uniqueCount="215">
  <si>
    <t>Excel Practice Workbook — Weeks 1 &amp; 2</t>
  </si>
  <si>
    <t>How this workbook is organised</t>
  </si>
  <si>
    <t>Data</t>
  </si>
  <si>
    <t>This is your raw dataset — 60 sales transactions. Every practice question refers to this sheet.</t>
  </si>
  <si>
    <t>Employees</t>
  </si>
  <si>
    <t>A lookup table of 10 employees (ID, Name, Department, Region, Join Date). Used for VLOOKUP / INDEX-MATCH / XLOOKUP practice.</t>
  </si>
  <si>
    <t>PriceList</t>
  </si>
  <si>
    <t>A small lookup table of products and prices. Also used for lookup practice.</t>
  </si>
  <si>
    <t>Week1_Practice</t>
  </si>
  <si>
    <t>20 questions covering Days 1–7: basic functions, IF/AND/OR, references, sort/filter/duplicates, text functions.</t>
  </si>
  <si>
    <t>Week2_Practice</t>
  </si>
  <si>
    <t>18 questions covering Days 8–13: XLOOKUP, VLOOKUP, INDEX+MATCH, SUMIF/SUMIFS, COUNTIF/COUNTIFS, date functions.</t>
  </si>
  <si>
    <t>Answer_Key</t>
  </si>
  <si>
    <t>Working formulas for every question, already calculated. Check yourself only after you try — no peeking first!</t>
  </si>
  <si>
    <t>How to practice</t>
  </si>
  <si>
    <t>1.</t>
  </si>
  <si>
    <t>Open Week1_Practice, type your formula into the yellow 'Your Formula / Answer' cell for each question.</t>
  </si>
  <si>
    <t>2.</t>
  </si>
  <si>
    <t>Once you've answered a section, open Answer_Key and compare your result and formula.</t>
  </si>
  <si>
    <t>3.</t>
  </si>
  <si>
    <t>For Day 5 (sort / filter / remove duplicates) and the mockup tasks, do them directly on a COPY of the Data sheet — right-click the Data tab → Move or Copy → Create a copy.</t>
  </si>
  <si>
    <t>4.</t>
  </si>
  <si>
    <t>XLOOKUP questions: this file was built with INDEX+MATCH formulas in the answer key for compatibility, but try writing the real =XLOOKUP(...) formula yourself in Excel/365 — it's the modern, recommended function.</t>
  </si>
  <si>
    <t>5.</t>
  </si>
  <si>
    <t>Don't just read the answer key — retype every formula yourself. Typing builds the muscle memory.</t>
  </si>
  <si>
    <t>OrderID</t>
  </si>
  <si>
    <t>OrderDate</t>
  </si>
  <si>
    <t>EmployeeName</t>
  </si>
  <si>
    <t>Region</t>
  </si>
  <si>
    <t>Product</t>
  </si>
  <si>
    <t>Category</t>
  </si>
  <si>
    <t>UnitPrice</t>
  </si>
  <si>
    <t>Quantity</t>
  </si>
  <si>
    <t>TotalSales</t>
  </si>
  <si>
    <t>CustomerEmail</t>
  </si>
  <si>
    <t>&lt;- GST rate for Day 4 exercise (K2 formula = I2*$K$1, copy down)</t>
  </si>
  <si>
    <t>Priya Singh</t>
  </si>
  <si>
    <t>South</t>
  </si>
  <si>
    <t>Laptop</t>
  </si>
  <si>
    <t>Electronics</t>
  </si>
  <si>
    <t>priya.singh32@gmail.com</t>
  </si>
  <si>
    <t>Office Desk</t>
  </si>
  <si>
    <t>Furniture</t>
  </si>
  <si>
    <t>priya.singh76@yahoo.com</t>
  </si>
  <si>
    <t>Rahul Sharma</t>
  </si>
  <si>
    <t>North</t>
  </si>
  <si>
    <t>Wireless Mouse</t>
  </si>
  <si>
    <t>rahul.sharma30@outlook.com</t>
  </si>
  <si>
    <t>rahul.sharma92@outlook.com</t>
  </si>
  <si>
    <t>Rohan Das</t>
  </si>
  <si>
    <t>Stapler</t>
  </si>
  <si>
    <t>Stationery</t>
  </si>
  <si>
    <t>rohan.das58@outlook.com</t>
  </si>
  <si>
    <t>Keyboard</t>
  </si>
  <si>
    <t>rahul.sharma44@yahoo.com</t>
  </si>
  <si>
    <t>Neha Gupta</t>
  </si>
  <si>
    <t>West</t>
  </si>
  <si>
    <t>Pen Set</t>
  </si>
  <si>
    <t>neha.gupta12@yahoo.com</t>
  </si>
  <si>
    <t>Anjali Mehta</t>
  </si>
  <si>
    <t>anjali.mehta34@gmail.com</t>
  </si>
  <si>
    <t>Kavita Nair</t>
  </si>
  <si>
    <t>kavita.nair49@gmail.com</t>
  </si>
  <si>
    <t>Vikram Rao</t>
  </si>
  <si>
    <t>vikram.rao25@outlook.com</t>
  </si>
  <si>
    <t>Monitor</t>
  </si>
  <si>
    <t>rahul.sharma11@gmail.com</t>
  </si>
  <si>
    <t>priya.singh59@outlook.com</t>
  </si>
  <si>
    <t>anjali.mehta46@gmail.com</t>
  </si>
  <si>
    <t>vikram.rao82@gmail.com</t>
  </si>
  <si>
    <t>neha.gupta49@yahoo.com</t>
  </si>
  <si>
    <t>rohan.das99@gmail.com</t>
  </si>
  <si>
    <t>rahul.sharma35@gmail.com</t>
  </si>
  <si>
    <t>Simran Kaur</t>
  </si>
  <si>
    <t>simran.kaur84@yahoo.com</t>
  </si>
  <si>
    <t>kavita.nair18@gmail.com</t>
  </si>
  <si>
    <t>rohan.das96@outlook.com</t>
  </si>
  <si>
    <t>simran.kaur29@gmail.com</t>
  </si>
  <si>
    <t>kavita.nair15@gmail.com</t>
  </si>
  <si>
    <t>Amit Verma</t>
  </si>
  <si>
    <t>East</t>
  </si>
  <si>
    <t>amit.verma9@yahoo.com</t>
  </si>
  <si>
    <t>Office Chair</t>
  </si>
  <si>
    <t>simran.kaur33@outlook.com</t>
  </si>
  <si>
    <t>rahul.sharma97@yahoo.com</t>
  </si>
  <si>
    <t>anjali.mehta56@gmail.com</t>
  </si>
  <si>
    <t>Notebook</t>
  </si>
  <si>
    <t>rahul.sharma98@gmail.com</t>
  </si>
  <si>
    <t>priya.singh78@gmail.com</t>
  </si>
  <si>
    <t>anjali.mehta68@gmail.com</t>
  </si>
  <si>
    <t>anjali.mehta15@yahoo.com</t>
  </si>
  <si>
    <t>vikram.rao31@outlook.com</t>
  </si>
  <si>
    <t>priya.singh98@outlook.com</t>
  </si>
  <si>
    <t>amit.verma71@gmail.com</t>
  </si>
  <si>
    <t>rohan.das70@outlook.com</t>
  </si>
  <si>
    <t>neha.gupta86@outlook.com</t>
  </si>
  <si>
    <t>kavita.nair16@gmail.com</t>
  </si>
  <si>
    <t>priya.singh76@outlook.com</t>
  </si>
  <si>
    <t>simran.kaur10@outlook.com</t>
  </si>
  <si>
    <t>rahul.sharma5@yahoo.com</t>
  </si>
  <si>
    <t>rohan.das86@yahoo.com</t>
  </si>
  <si>
    <t>rohan.das74@yahoo.com</t>
  </si>
  <si>
    <t>kavita.nair13@gmail.com</t>
  </si>
  <si>
    <t>Suresh Kumar</t>
  </si>
  <si>
    <t>suresh.kumar53@yahoo.com</t>
  </si>
  <si>
    <t>rahul.sharma52@outlook.com</t>
  </si>
  <si>
    <t>priya.singh25@outlook.com</t>
  </si>
  <si>
    <t>amit.verma36@yahoo.com</t>
  </si>
  <si>
    <t>priya.singh13@gmail.com</t>
  </si>
  <si>
    <t>rohan.das97@gmail.com</t>
  </si>
  <si>
    <t>suresh.kumar28@yahoo.com</t>
  </si>
  <si>
    <t>amit.verma50@yahoo.com</t>
  </si>
  <si>
    <t>kavita.nair90@outlook.com</t>
  </si>
  <si>
    <t>rohan.das25@yahoo.com</t>
  </si>
  <si>
    <t>rahul.sharma96@yahoo.com</t>
  </si>
  <si>
    <t>rahul.sharma68@gmail.com</t>
  </si>
  <si>
    <t>rohan.das9@outlook.com</t>
  </si>
  <si>
    <t>neha.gupta73@gmail.com</t>
  </si>
  <si>
    <t>simran.kaur11@yahoo.com</t>
  </si>
  <si>
    <t>simran.kaur34@gmail.com</t>
  </si>
  <si>
    <t>anjali.mehta51@gmail.com</t>
  </si>
  <si>
    <t>vikram.rao97@gmail.com</t>
  </si>
  <si>
    <t>EmployeeID</t>
  </si>
  <si>
    <t>Department</t>
  </si>
  <si>
    <t>JoinDate</t>
  </si>
  <si>
    <t>E001</t>
  </si>
  <si>
    <t>Sales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</si>
  <si>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</si>
  <si>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</si>
  <si>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</si>
  <si>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</si>
  <si>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</si>
  <si>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</si>
  <si>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</si>
  <si>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</si>
  <si>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</si>
  <si>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Week 1 Practice — Excel Fundamentals</t>
  </si>
  <si>
    <t>#</t>
  </si>
  <si>
    <t>Day</t>
  </si>
  <si>
    <t>Topic</t>
  </si>
  <si>
    <t>Question</t>
  </si>
  <si>
    <t>Your Formula / Answer</t>
  </si>
  <si>
    <t>Day 1-2</t>
  </si>
  <si>
    <t>SUM / AVERAGE / MIN / MAX / COUNT</t>
  </si>
  <si>
    <t>Find the total value of all sales (TotalSales column, rows 2-61).</t>
  </si>
  <si>
    <t>Find the average Quantity ordered across all 60 orders.</t>
  </si>
  <si>
    <t>Find the smallest (MIN) UnitPrice in the dataset.</t>
  </si>
  <si>
    <t>Find the largest (MAX) TotalSales value in a single order.</t>
  </si>
  <si>
    <t>Count how many orders were placed in total (COUNT of OrderID).</t>
  </si>
  <si>
    <t>Day 3</t>
  </si>
  <si>
    <t>IF / AND / OR</t>
  </si>
  <si>
    <t>In a helper column next to the data, mark each order 'Big' if TotalSales &gt; 20000, else 'Small'. Write the formula for row 2.</t>
  </si>
  <si>
    <t>Mark an order 'Priority' only if Quantity &gt; 10 AND Region = "North" (row 2).</t>
  </si>
  <si>
    <t>Mark an order 'Discount' if Category is "Electronics" OR TotalSales &gt; 50000 (row 2).</t>
  </si>
  <si>
    <t>Day 4</t>
  </si>
  <si>
    <t>Relative vs Absolute references</t>
  </si>
  <si>
    <t>In cell K1 of Data, put the GST rate 18% (0.18). In K2, write a formula that multiplies I2 by this rate, so it can be copied down to K61 without the K1 reference shifting. (K1 must contain 0.18, formatted as 18%.)</t>
  </si>
  <si>
    <t>Explain in one line: what's the difference between A1, $A$1 and A$1 when you copy a formula across rows and columns?</t>
  </si>
  <si>
    <t>Day 5</t>
  </si>
  <si>
    <t>Sort / Filter / Remove Duplicates</t>
  </si>
  <si>
    <t>On a COPY of the Data sheet: sort the table by TotalSales, highest to lowest.</t>
  </si>
  <si>
    <t>On a COPY of the Data sheet: apply a filter so only Region = "South" rows are visible.</t>
  </si>
  <si>
    <t>On a COPY of the Data sheet (rows 2-63 include 2 planted duplicates): use Remove Duplicates on the whole row to clean the table. How many duplicate rows were removed?</t>
  </si>
  <si>
    <t>Day 6</t>
  </si>
  <si>
    <t>Text functions</t>
  </si>
  <si>
    <t>Using LEFT, extract the area code / first 3 letters of the Product name in Data!E2.</t>
  </si>
  <si>
    <t>Using RIGHT, extract the last 4 characters of the CustomerEmail in Data!J2.</t>
  </si>
  <si>
    <t>Using FIND + MID, extract just the username part of the email in Data!J2 (everything before the @).</t>
  </si>
  <si>
    <t>Using LEN, find how many characters are in the EmployeeName in Data!C2.</t>
  </si>
  <si>
    <t>Day 7</t>
  </si>
  <si>
    <t>Revision</t>
  </si>
  <si>
    <t>How many orders had TotalSales greater than 10,000?</t>
  </si>
  <si>
    <t>What is the average TotalSales for orders in the "Electronics" category only?</t>
  </si>
  <si>
    <t>Combine IF + AND: mark an order "Review" if Quantity &gt; 15 AND UnitPrice &lt; 1000 (row 2), else "OK".</t>
  </si>
  <si>
    <t>Week 2 Practice — Important Excel Functions</t>
  </si>
  <si>
    <t>Day 8</t>
  </si>
  <si>
    <t>XLOOKUP</t>
  </si>
  <si>
    <t>Look up the UnitPrice of "Office Chair" from the PriceList sheet. (Try the real XLOOKUP function in Excel/365 - the answer key uses an INDEX+MATCH equivalent for compatibility: XLOOKUP("Office Chair",PriceList!A2:A10,PriceList!C2:C10) )</t>
  </si>
  <si>
    <t>Look up the Department of employee ID "E006" from the Employees sheet. (Excel 365 equivalent: XLOOKUP("E006",Employees!A2:A11,Employees!C2:C11) )</t>
  </si>
  <si>
    <t>Day 9</t>
  </si>
  <si>
    <t>VLOOKUP</t>
  </si>
  <si>
    <t>Using VLOOKUP, find the Category of "Laptop" from PriceList (table is sorted, use exact match).</t>
  </si>
  <si>
    <t>Using VLOOKUP, find the Region of employee "Priya Singh" from the Employees sheet.</t>
  </si>
  <si>
    <t>Day 10</t>
  </si>
  <si>
    <t>INDEX + MATCH</t>
  </si>
  <si>
    <t>Using INDEX+MATCH, find the JoinDate of employee "Rohan Das".</t>
  </si>
  <si>
    <t>Using INDEX+MATCH, find the UnitPrice of "Pen Set" from PriceList. Explain why INDEX+MATCH still works even if you insert a new column to the left of Price. (Unlike VLOOKUP, INDEX/MATCH does not depend on counting columns, so inserting a column does not break it.)</t>
  </si>
  <si>
    <t>Day 11</t>
  </si>
  <si>
    <t>SUMIF / SUMIFS</t>
  </si>
  <si>
    <t>Find the total TotalSales for Region = "North" only.</t>
  </si>
  <si>
    <t>Find the total TotalSales where Region = "South" AND Category = "Electronics".</t>
  </si>
  <si>
    <t>Find total Quantity sold where UnitPrice is greater than 1000.</t>
  </si>
  <si>
    <t>Day 12</t>
  </si>
  <si>
    <t>COUNTIF / COUNTIFS</t>
  </si>
  <si>
    <t>Count how many orders belong to "Rahul Sharma".</t>
  </si>
  <si>
    <t>Count how many orders have Region = "East" AND Quantity &gt;= 10.</t>
  </si>
  <si>
    <t>Count how many distinct-looking orders have Category = "Furniture".</t>
  </si>
  <si>
    <t>Day 13</t>
  </si>
  <si>
    <t>Date functions</t>
  </si>
  <si>
    <t>In a new cell, return today's date.</t>
  </si>
  <si>
    <t>Extract just the Year from the OrderDate in Data!B2.</t>
  </si>
  <si>
    <t>Extract just the Month (as a number) from the OrderDate in Data!B2.</t>
  </si>
  <si>
    <t>Using DATEDIF, calculate how many full years employee "Amit Verma" (JoinDate in Employees!E4) has worked, as of today.</t>
  </si>
  <si>
    <t>Using EDATE, find the date exactly 6 months after the OrderDate in Data!B2.</t>
  </si>
  <si>
    <t>Using NETWORKDAYS, find the number of working days between 01-Jan-2026 and the OrderDate in Data!B2.</t>
  </si>
  <si>
    <t>Answer Key</t>
  </si>
  <si>
    <t>Formula / Answer</t>
  </si>
  <si>
    <t>WEEK 1</t>
  </si>
  <si>
    <t>A1 = fully relative (both row &amp; column shift). $A$1 = fully absolute (nothing shifts). A$1 = mixed - column shifts, row is locked.</t>
  </si>
  <si>
    <t>Data tab -&gt; Sort &amp; Filter -&gt; Sort Largest to Smallest on TotalSales column.</t>
  </si>
  <si>
    <t>Select table -&gt; Data -&gt; Filter -&gt; Region dropdown -&gt; tick only South.</t>
  </si>
  <si>
    <t>2 duplicate rows removed (rows 62 and 63 are exact copies of row 5).</t>
  </si>
  <si>
    <t>WEEK 2</t>
  </si>
  <si>
    <t>helper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</si>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</sst>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/dd/yy"/>
  </numFmts>
  <fonts count="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color rgb="FF1E5631"/>
      <name val="Arial"/>
      <charset val="1"/>
    </font>
    <font>
      <b/>
      <sz val="11"/>
      <color rgb="FFFFFFFF"/>
      <name val="Arial"/>
      <charset val="1"/>
    </font>
    <font>
      <i/>
      <sz val="10"/>
      <color rgb="FF666666"/>
      <name val="Arial"/>
      <charset val="1"/>
    </font>
    <font>
      <b/>
      <sz val="16"/>
      <color rgb="FFFFFFFF"/>
      <name val="Arial"/>
      <charset val="1"/>
    </font>
    <font>
      <sz val="10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FFF9C4"/>
        <bgColor rgb="FFFFFF99"/>
      </patternFill>
    </fill>
    <fill>
      <patternFill patternType="solid">
        <fgColor rgb="FFD9EAD3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5" fontId="8" fillId="0" borderId="1" xfId="0" applyNumberFormat="1" applyFont="1" applyBorder="1" applyAlignment="1">
      <alignment vertical="top" wrapText="1"/>
    </xf>
    <xf numFmtId="3" fontId="3" fillId="3" borderId="1" xfId="0" applyNumberFormat="1" applyFont="1" applyFill="1" applyBorder="1" applyAlignment="1">
      <alignment vertical="top"/>
    </xf>
    <xf numFmtId="0" fontId="5" fillId="2" borderId="0" xfId="0" applyFont="1" applyFill="1" applyAlignment="1">
      <alignment horizontal="center" vertical="center" wrapText="1"/>
    </xf>
    <xf numFmtId="2" fontId="2" fillId="3" borderId="0" xfId="0" applyNumberFormat="1" applyFont="1" applyFill="1"/>
    <xf numFmtId="2" fontId="0" fillId="0" borderId="0" xfId="0" applyNumberFormat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4" fillId="4" borderId="0" xfId="0" applyFont="1" applyFill="1"/>
    <xf numFmtId="14" fontId="3" fillId="3" borderId="1" xfId="0" applyNumberFormat="1" applyFont="1" applyFill="1" applyBorder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opLeftCell="A2" zoomScaleNormal="100" workbookViewId="0">
      <selection sqref="A1:F2"/>
    </sheetView>
  </sheetViews>
  <sheetFormatPr defaultColWidth="8.6640625" defaultRowHeight="14.4" x14ac:dyDescent="0.3"/>
  <cols>
    <col min="1" max="1" width="16" customWidth="1"/>
    <col min="2" max="2" width="24" customWidth="1"/>
    <col min="3" max="6" width="16" customWidth="1"/>
  </cols>
  <sheetData>
    <row r="1" spans="1:6" ht="39.75" customHeight="1" x14ac:dyDescent="0.3">
      <c r="A1" s="20" t="s">
        <v>0</v>
      </c>
      <c r="B1" s="20"/>
      <c r="C1" s="20"/>
      <c r="D1" s="20"/>
      <c r="E1" s="20"/>
      <c r="F1" s="20"/>
    </row>
    <row r="2" spans="1:6" x14ac:dyDescent="0.3">
      <c r="A2" s="20"/>
      <c r="B2" s="20"/>
      <c r="C2" s="20"/>
      <c r="D2" s="20"/>
      <c r="E2" s="20"/>
      <c r="F2" s="20"/>
    </row>
    <row r="4" spans="1:6" x14ac:dyDescent="0.3">
      <c r="A4" s="1"/>
      <c r="B4" s="21"/>
      <c r="C4" s="21"/>
      <c r="D4" s="21"/>
      <c r="E4" s="21"/>
      <c r="F4" s="21"/>
    </row>
    <row r="5" spans="1:6" ht="15.6" x14ac:dyDescent="0.3">
      <c r="A5" s="2" t="s">
        <v>1</v>
      </c>
    </row>
    <row r="6" spans="1:6" ht="15" customHeight="1" x14ac:dyDescent="0.3">
      <c r="A6" s="1" t="s">
        <v>2</v>
      </c>
      <c r="B6" s="21" t="s">
        <v>3</v>
      </c>
      <c r="C6" s="21"/>
      <c r="D6" s="21"/>
      <c r="E6" s="21"/>
      <c r="F6" s="21"/>
    </row>
    <row r="7" spans="1:6" ht="26.85" customHeight="1" x14ac:dyDescent="0.3">
      <c r="A7" s="1" t="s">
        <v>4</v>
      </c>
      <c r="B7" s="21" t="s">
        <v>5</v>
      </c>
      <c r="C7" s="21"/>
      <c r="D7" s="21"/>
      <c r="E7" s="21"/>
      <c r="F7" s="21"/>
    </row>
    <row r="8" spans="1:6" ht="15" customHeight="1" x14ac:dyDescent="0.3">
      <c r="A8" s="1" t="s">
        <v>6</v>
      </c>
      <c r="B8" s="21" t="s">
        <v>7</v>
      </c>
      <c r="C8" s="21"/>
      <c r="D8" s="21"/>
      <c r="E8" s="21"/>
      <c r="F8" s="21"/>
    </row>
    <row r="9" spans="1:6" ht="26.85" customHeight="1" x14ac:dyDescent="0.3">
      <c r="A9" s="1" t="s">
        <v>8</v>
      </c>
      <c r="B9" s="21" t="s">
        <v>9</v>
      </c>
      <c r="C9" s="21"/>
      <c r="D9" s="21"/>
      <c r="E9" s="21"/>
      <c r="F9" s="21"/>
    </row>
    <row r="10" spans="1:6" ht="26.85" customHeight="1" x14ac:dyDescent="0.3">
      <c r="A10" s="1" t="s">
        <v>10</v>
      </c>
      <c r="B10" s="21" t="s">
        <v>11</v>
      </c>
      <c r="C10" s="21"/>
      <c r="D10" s="21"/>
      <c r="E10" s="21"/>
      <c r="F10" s="21"/>
    </row>
    <row r="11" spans="1:6" ht="26.85" customHeight="1" x14ac:dyDescent="0.3">
      <c r="A11" s="1" t="s">
        <v>12</v>
      </c>
      <c r="B11" s="21" t="s">
        <v>13</v>
      </c>
      <c r="C11" s="21"/>
      <c r="D11" s="21"/>
      <c r="E11" s="21"/>
      <c r="F11" s="21"/>
    </row>
    <row r="12" spans="1:6" x14ac:dyDescent="0.3">
      <c r="A12" s="1"/>
      <c r="B12" s="21"/>
      <c r="C12" s="21"/>
      <c r="D12" s="21"/>
      <c r="E12" s="21"/>
      <c r="F12" s="21"/>
    </row>
    <row r="13" spans="1:6" ht="15.6" x14ac:dyDescent="0.3">
      <c r="A13" s="2" t="s">
        <v>14</v>
      </c>
    </row>
    <row r="14" spans="1:6" ht="26.85" customHeight="1" x14ac:dyDescent="0.3">
      <c r="A14" s="1" t="s">
        <v>15</v>
      </c>
      <c r="B14" s="21" t="s">
        <v>16</v>
      </c>
      <c r="C14" s="21"/>
      <c r="D14" s="21"/>
      <c r="E14" s="21"/>
      <c r="F14" s="21"/>
    </row>
    <row r="15" spans="1:6" ht="15" customHeight="1" x14ac:dyDescent="0.3">
      <c r="A15" s="1" t="s">
        <v>17</v>
      </c>
      <c r="B15" s="21" t="s">
        <v>18</v>
      </c>
      <c r="C15" s="21"/>
      <c r="D15" s="21"/>
      <c r="E15" s="21"/>
      <c r="F15" s="21"/>
    </row>
    <row r="16" spans="1:6" ht="26.85" customHeight="1" x14ac:dyDescent="0.3">
      <c r="A16" s="1" t="s">
        <v>19</v>
      </c>
      <c r="B16" s="21" t="s">
        <v>20</v>
      </c>
      <c r="C16" s="21"/>
      <c r="D16" s="21"/>
      <c r="E16" s="21"/>
      <c r="F16" s="21"/>
    </row>
    <row r="17" spans="1:6" ht="39.6" customHeight="1" x14ac:dyDescent="0.3">
      <c r="A17" s="1" t="s">
        <v>21</v>
      </c>
      <c r="B17" s="21" t="s">
        <v>22</v>
      </c>
      <c r="C17" s="21"/>
      <c r="D17" s="21"/>
      <c r="E17" s="21"/>
      <c r="F17" s="21"/>
    </row>
    <row r="18" spans="1:6" ht="26.85" customHeight="1" x14ac:dyDescent="0.3">
      <c r="A18" s="1" t="s">
        <v>23</v>
      </c>
      <c r="B18" s="21" t="s">
        <v>24</v>
      </c>
      <c r="C18" s="21"/>
      <c r="D18" s="21"/>
      <c r="E18" s="21"/>
      <c r="F18" s="21"/>
    </row>
    <row r="19" spans="1:6" x14ac:dyDescent="0.3">
      <c r="A19" s="1"/>
      <c r="B19" s="21"/>
      <c r="C19" s="21"/>
      <c r="D19" s="21"/>
      <c r="E19" s="21"/>
      <c r="F19" s="21"/>
    </row>
  </sheetData>
  <mergeCells count="15">
    <mergeCell ref="B15:F15"/>
    <mergeCell ref="B16:F16"/>
    <mergeCell ref="B17:F17"/>
    <mergeCell ref="B18:F18"/>
    <mergeCell ref="B19:F19"/>
    <mergeCell ref="B9:F9"/>
    <mergeCell ref="B10:F10"/>
    <mergeCell ref="B11:F11"/>
    <mergeCell ref="B12:F12"/>
    <mergeCell ref="B14:F14"/>
    <mergeCell ref="A1:F2"/>
    <mergeCell ref="B4:F4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zoomScaleNormal="100" workbookViewId="0">
      <pane ySplit="1" topLeftCell="A2" activePane="bottomLeft" state="frozen"/>
      <selection pane="bottomLeft" activeCell="P16" sqref="P16"/>
    </sheetView>
  </sheetViews>
  <sheetFormatPr defaultColWidth="8.6640625" defaultRowHeight="14.4" x14ac:dyDescent="0.3"/>
  <cols>
    <col min="1" max="1" width="10" customWidth="1"/>
    <col min="2" max="2" width="13" customWidth="1"/>
    <col min="3" max="3" width="16" customWidth="1"/>
    <col min="4" max="4" width="10" customWidth="1"/>
    <col min="5" max="5" width="15" customWidth="1"/>
    <col min="6" max="6" width="13" customWidth="1"/>
    <col min="7" max="7" width="11" customWidth="1"/>
    <col min="8" max="8" width="10" customWidth="1"/>
    <col min="9" max="9" width="12" customWidth="1"/>
    <col min="10" max="10" width="26" customWidth="1"/>
    <col min="11" max="11" width="13.109375" bestFit="1" customWidth="1"/>
    <col min="12" max="12" width="58.33203125" bestFit="1" customWidth="1"/>
  </cols>
  <sheetData>
    <row r="1" spans="1:16" ht="27.6" x14ac:dyDescent="0.3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17">
        <v>0.18</v>
      </c>
      <c r="L1" s="4" t="s">
        <v>35</v>
      </c>
      <c r="M1" s="16" t="s">
        <v>213</v>
      </c>
      <c r="N1" s="16" t="s">
        <v>214</v>
      </c>
    </row>
    <row r="2" spans="1:16" x14ac:dyDescent="0.3">
      <c r="A2" s="5">
        <v>1001</v>
      </c>
      <c r="B2" s="6">
        <v>46190</v>
      </c>
      <c r="C2" s="5" t="s">
        <v>36</v>
      </c>
      <c r="D2" s="5" t="s">
        <v>37</v>
      </c>
      <c r="E2" s="5" t="s">
        <v>38</v>
      </c>
      <c r="F2" s="5" t="s">
        <v>39</v>
      </c>
      <c r="G2" s="7">
        <v>55000</v>
      </c>
      <c r="H2" s="5">
        <v>9</v>
      </c>
      <c r="I2" s="7">
        <f t="shared" ref="I2:I33" si="0">G2*H2</f>
        <v>495000</v>
      </c>
      <c r="J2" s="5" t="s">
        <v>40</v>
      </c>
      <c r="K2" s="18">
        <f>I2*$K$1</f>
        <v>89100</v>
      </c>
      <c r="M2" t="str">
        <f>IF(Data!I2&gt;20000,"big","small")</f>
        <v>big</v>
      </c>
      <c r="N2" t="b">
        <f>IF(AND(H2&gt;10,D2=D7),"priority")</f>
        <v>0</v>
      </c>
      <c r="O2" t="str">
        <f>IF(OR(F2="Electronics",I2&gt;50000),"discount")</f>
        <v>discount</v>
      </c>
      <c r="P2" t="str">
        <f>IF(AND(Data!H2&gt;15,Data!G1&lt;1000),"review","ok")</f>
        <v>ok</v>
      </c>
    </row>
    <row r="3" spans="1:16" x14ac:dyDescent="0.3">
      <c r="A3" s="5">
        <v>1002</v>
      </c>
      <c r="B3" s="6">
        <v>46062</v>
      </c>
      <c r="C3" s="5" t="s">
        <v>36</v>
      </c>
      <c r="D3" s="5" t="s">
        <v>37</v>
      </c>
      <c r="E3" s="5" t="s">
        <v>41</v>
      </c>
      <c r="F3" s="5" t="s">
        <v>42</v>
      </c>
      <c r="G3" s="7">
        <v>7000</v>
      </c>
      <c r="H3" s="5">
        <v>3</v>
      </c>
      <c r="I3" s="7">
        <f t="shared" si="0"/>
        <v>21000</v>
      </c>
      <c r="J3" s="5" t="s">
        <v>43</v>
      </c>
      <c r="K3" s="18">
        <f t="shared" ref="K3:K63" si="1">I3*$K$1</f>
        <v>3780</v>
      </c>
      <c r="M3" t="str">
        <f>IF(Data!I3&gt;20000,"big","small")</f>
        <v>big</v>
      </c>
      <c r="N3" t="b">
        <f t="shared" ref="N3:N63" si="2">IF(AND(H3&gt;10,D3=D8),"priority")</f>
        <v>0</v>
      </c>
      <c r="O3" t="b">
        <f t="shared" ref="O3:O63" si="3">IF(OR(F3="Electronics",I3&gt;50000),"discount")</f>
        <v>0</v>
      </c>
      <c r="P3" t="str">
        <f>IF(AND(Data!H3&gt;15,Data!G2&lt;1000),"review","ok")</f>
        <v>ok</v>
      </c>
    </row>
    <row r="4" spans="1:16" x14ac:dyDescent="0.3">
      <c r="A4" s="5">
        <v>1003</v>
      </c>
      <c r="B4" s="6">
        <v>46035</v>
      </c>
      <c r="C4" s="5" t="s">
        <v>44</v>
      </c>
      <c r="D4" s="5" t="s">
        <v>45</v>
      </c>
      <c r="E4" s="5" t="s">
        <v>46</v>
      </c>
      <c r="F4" s="5" t="s">
        <v>39</v>
      </c>
      <c r="G4" s="7">
        <v>500</v>
      </c>
      <c r="H4" s="5">
        <v>7</v>
      </c>
      <c r="I4" s="7">
        <f t="shared" si="0"/>
        <v>3500</v>
      </c>
      <c r="J4" s="5" t="s">
        <v>47</v>
      </c>
      <c r="K4" s="18">
        <f t="shared" si="1"/>
        <v>630</v>
      </c>
      <c r="M4" t="str">
        <f>IF(Data!I4&gt;20000,"big","small")</f>
        <v>small</v>
      </c>
      <c r="N4" t="b">
        <f t="shared" si="2"/>
        <v>0</v>
      </c>
      <c r="O4" t="str">
        <f t="shared" si="3"/>
        <v>discount</v>
      </c>
      <c r="P4" t="str">
        <f>IF(AND(Data!H4&gt;15,Data!G3&lt;1000),"review","ok")</f>
        <v>ok</v>
      </c>
    </row>
    <row r="5" spans="1:16" x14ac:dyDescent="0.3">
      <c r="A5" s="5">
        <v>1004</v>
      </c>
      <c r="B5" s="6">
        <v>46181</v>
      </c>
      <c r="C5" s="5" t="s">
        <v>44</v>
      </c>
      <c r="D5" s="5" t="s">
        <v>45</v>
      </c>
      <c r="E5" s="5" t="s">
        <v>41</v>
      </c>
      <c r="F5" s="5" t="s">
        <v>42</v>
      </c>
      <c r="G5" s="7">
        <v>7000</v>
      </c>
      <c r="H5" s="5">
        <v>7</v>
      </c>
      <c r="I5" s="7">
        <f t="shared" si="0"/>
        <v>49000</v>
      </c>
      <c r="J5" s="5" t="s">
        <v>48</v>
      </c>
      <c r="K5" s="18">
        <f t="shared" si="1"/>
        <v>8820</v>
      </c>
      <c r="M5" t="str">
        <f>IF(Data!I5&gt;20000,"big","small")</f>
        <v>big</v>
      </c>
      <c r="N5" t="b">
        <f t="shared" si="2"/>
        <v>0</v>
      </c>
      <c r="O5" t="b">
        <f t="shared" si="3"/>
        <v>0</v>
      </c>
      <c r="P5" t="str">
        <f>IF(AND(Data!H5&gt;15,Data!G4&lt;1000),"review","ok")</f>
        <v>ok</v>
      </c>
    </row>
    <row r="6" spans="1:16" x14ac:dyDescent="0.3">
      <c r="A6" s="5">
        <v>1005</v>
      </c>
      <c r="B6" s="6">
        <v>46206</v>
      </c>
      <c r="C6" s="5" t="s">
        <v>49</v>
      </c>
      <c r="D6" s="5" t="s">
        <v>45</v>
      </c>
      <c r="E6" s="5" t="s">
        <v>50</v>
      </c>
      <c r="F6" s="5" t="s">
        <v>51</v>
      </c>
      <c r="G6" s="7">
        <v>150</v>
      </c>
      <c r="H6" s="5">
        <v>8</v>
      </c>
      <c r="I6" s="7">
        <f t="shared" si="0"/>
        <v>1200</v>
      </c>
      <c r="J6" s="5" t="s">
        <v>52</v>
      </c>
      <c r="K6" s="18">
        <f t="shared" si="1"/>
        <v>216</v>
      </c>
      <c r="M6" t="str">
        <f>IF(Data!I6&gt;20000,"big","small")</f>
        <v>small</v>
      </c>
      <c r="N6" t="b">
        <f t="shared" si="2"/>
        <v>0</v>
      </c>
      <c r="O6" t="b">
        <f t="shared" si="3"/>
        <v>0</v>
      </c>
      <c r="P6" t="str">
        <f>IF(AND(Data!H6&gt;15,Data!G5&lt;1000),"review","ok")</f>
        <v>ok</v>
      </c>
    </row>
    <row r="7" spans="1:16" x14ac:dyDescent="0.3">
      <c r="A7" s="5">
        <v>1006</v>
      </c>
      <c r="B7" s="6">
        <v>46098</v>
      </c>
      <c r="C7" s="5" t="s">
        <v>44</v>
      </c>
      <c r="D7" s="5" t="s">
        <v>45</v>
      </c>
      <c r="E7" s="5" t="s">
        <v>53</v>
      </c>
      <c r="F7" s="5" t="s">
        <v>39</v>
      </c>
      <c r="G7" s="7">
        <v>800</v>
      </c>
      <c r="H7" s="5">
        <v>14</v>
      </c>
      <c r="I7" s="7">
        <f t="shared" si="0"/>
        <v>11200</v>
      </c>
      <c r="J7" s="5" t="s">
        <v>54</v>
      </c>
      <c r="K7" s="18">
        <f t="shared" si="1"/>
        <v>2016</v>
      </c>
      <c r="M7" t="str">
        <f>IF(Data!I7&gt;20000,"big","small")</f>
        <v>small</v>
      </c>
      <c r="N7" t="str">
        <f t="shared" si="2"/>
        <v>priority</v>
      </c>
      <c r="O7" t="str">
        <f t="shared" si="3"/>
        <v>discount</v>
      </c>
      <c r="P7" t="str">
        <f>IF(AND(Data!H7&gt;15,Data!G6&lt;1000),"review","ok")</f>
        <v>ok</v>
      </c>
    </row>
    <row r="8" spans="1:16" x14ac:dyDescent="0.3">
      <c r="A8" s="5">
        <v>1007</v>
      </c>
      <c r="B8" s="6">
        <v>46066</v>
      </c>
      <c r="C8" s="5" t="s">
        <v>55</v>
      </c>
      <c r="D8" s="5" t="s">
        <v>56</v>
      </c>
      <c r="E8" s="5" t="s">
        <v>57</v>
      </c>
      <c r="F8" s="5" t="s">
        <v>51</v>
      </c>
      <c r="G8" s="7">
        <v>120</v>
      </c>
      <c r="H8" s="5">
        <v>4</v>
      </c>
      <c r="I8" s="7">
        <f t="shared" si="0"/>
        <v>480</v>
      </c>
      <c r="J8" s="5" t="s">
        <v>58</v>
      </c>
      <c r="K8" s="18">
        <f t="shared" si="1"/>
        <v>86.399999999999991</v>
      </c>
      <c r="M8" t="str">
        <f>IF(Data!I8&gt;20000,"big","small")</f>
        <v>small</v>
      </c>
      <c r="N8" t="b">
        <f t="shared" si="2"/>
        <v>0</v>
      </c>
      <c r="O8" t="b">
        <f t="shared" si="3"/>
        <v>0</v>
      </c>
      <c r="P8" t="str">
        <f>IF(AND(Data!H8&gt;15,Data!G7&lt;1000),"review","ok")</f>
        <v>ok</v>
      </c>
    </row>
    <row r="9" spans="1:16" x14ac:dyDescent="0.3">
      <c r="A9" s="5">
        <v>1008</v>
      </c>
      <c r="B9" s="6">
        <v>46051</v>
      </c>
      <c r="C9" s="5" t="s">
        <v>59</v>
      </c>
      <c r="D9" s="5" t="s">
        <v>37</v>
      </c>
      <c r="E9" s="5" t="s">
        <v>57</v>
      </c>
      <c r="F9" s="5" t="s">
        <v>51</v>
      </c>
      <c r="G9" s="7">
        <v>120</v>
      </c>
      <c r="H9" s="5">
        <v>20</v>
      </c>
      <c r="I9" s="7">
        <f t="shared" si="0"/>
        <v>2400</v>
      </c>
      <c r="J9" s="5" t="s">
        <v>60</v>
      </c>
      <c r="K9" s="18">
        <f t="shared" si="1"/>
        <v>432</v>
      </c>
      <c r="M9" t="str">
        <f>IF(Data!I9&gt;20000,"big","small")</f>
        <v>small</v>
      </c>
      <c r="N9" t="str">
        <f t="shared" si="2"/>
        <v>priority</v>
      </c>
      <c r="O9" t="b">
        <f t="shared" si="3"/>
        <v>0</v>
      </c>
      <c r="P9" t="str">
        <f>IF(AND(Data!H9&gt;15,Data!G8&lt;1000),"review","ok")</f>
        <v>review</v>
      </c>
    </row>
    <row r="10" spans="1:16" x14ac:dyDescent="0.3">
      <c r="A10" s="5">
        <v>1009</v>
      </c>
      <c r="B10" s="6">
        <v>46213</v>
      </c>
      <c r="C10" s="5" t="s">
        <v>61</v>
      </c>
      <c r="D10" s="5" t="s">
        <v>56</v>
      </c>
      <c r="E10" s="5" t="s">
        <v>41</v>
      </c>
      <c r="F10" s="5" t="s">
        <v>42</v>
      </c>
      <c r="G10" s="7">
        <v>7000</v>
      </c>
      <c r="H10" s="5">
        <v>4</v>
      </c>
      <c r="I10" s="7">
        <f t="shared" si="0"/>
        <v>28000</v>
      </c>
      <c r="J10" s="5" t="s">
        <v>62</v>
      </c>
      <c r="K10" s="18">
        <f t="shared" si="1"/>
        <v>5040</v>
      </c>
      <c r="M10" t="str">
        <f>IF(Data!I10&gt;20000,"big","small")</f>
        <v>big</v>
      </c>
      <c r="N10" t="b">
        <f t="shared" si="2"/>
        <v>0</v>
      </c>
      <c r="O10" t="b">
        <f t="shared" si="3"/>
        <v>0</v>
      </c>
      <c r="P10" t="str">
        <f>IF(AND(Data!H10&gt;15,Data!G9&lt;1000),"review","ok")</f>
        <v>ok</v>
      </c>
    </row>
    <row r="11" spans="1:16" x14ac:dyDescent="0.3">
      <c r="A11" s="5">
        <v>1010</v>
      </c>
      <c r="B11" s="6">
        <v>46168</v>
      </c>
      <c r="C11" s="5" t="s">
        <v>63</v>
      </c>
      <c r="D11" s="5" t="s">
        <v>45</v>
      </c>
      <c r="E11" s="5" t="s">
        <v>57</v>
      </c>
      <c r="F11" s="5" t="s">
        <v>51</v>
      </c>
      <c r="G11" s="7">
        <v>120</v>
      </c>
      <c r="H11" s="5">
        <v>19</v>
      </c>
      <c r="I11" s="7">
        <f t="shared" si="0"/>
        <v>2280</v>
      </c>
      <c r="J11" s="5" t="s">
        <v>64</v>
      </c>
      <c r="K11" s="18">
        <f t="shared" si="1"/>
        <v>410.4</v>
      </c>
      <c r="M11" t="str">
        <f>IF(Data!I11&gt;20000,"big","small")</f>
        <v>small</v>
      </c>
      <c r="N11" t="b">
        <f t="shared" si="2"/>
        <v>0</v>
      </c>
      <c r="O11" t="b">
        <f t="shared" si="3"/>
        <v>0</v>
      </c>
      <c r="P11" t="str">
        <f>IF(AND(Data!H11&gt;15,Data!G10&lt;1000),"review","ok")</f>
        <v>ok</v>
      </c>
    </row>
    <row r="12" spans="1:16" x14ac:dyDescent="0.3">
      <c r="A12" s="5">
        <v>1011</v>
      </c>
      <c r="B12" s="6">
        <v>46044</v>
      </c>
      <c r="C12" s="5" t="s">
        <v>44</v>
      </c>
      <c r="D12" s="5" t="s">
        <v>45</v>
      </c>
      <c r="E12" s="5" t="s">
        <v>65</v>
      </c>
      <c r="F12" s="5" t="s">
        <v>39</v>
      </c>
      <c r="G12" s="7">
        <v>9000</v>
      </c>
      <c r="H12" s="5">
        <v>10</v>
      </c>
      <c r="I12" s="7">
        <f t="shared" si="0"/>
        <v>90000</v>
      </c>
      <c r="J12" s="5" t="s">
        <v>66</v>
      </c>
      <c r="K12" s="18">
        <f t="shared" si="1"/>
        <v>16200</v>
      </c>
      <c r="M12" t="str">
        <f>IF(Data!I12&gt;20000,"big","small")</f>
        <v>big</v>
      </c>
      <c r="N12" t="b">
        <f t="shared" si="2"/>
        <v>0</v>
      </c>
      <c r="O12" t="str">
        <f t="shared" si="3"/>
        <v>discount</v>
      </c>
      <c r="P12" t="str">
        <f>IF(AND(Data!H12&gt;15,Data!G11&lt;1000),"review","ok")</f>
        <v>ok</v>
      </c>
    </row>
    <row r="13" spans="1:16" x14ac:dyDescent="0.3">
      <c r="A13" s="5">
        <v>1012</v>
      </c>
      <c r="B13" s="6">
        <v>46248</v>
      </c>
      <c r="C13" s="5" t="s">
        <v>36</v>
      </c>
      <c r="D13" s="5" t="s">
        <v>37</v>
      </c>
      <c r="E13" s="5" t="s">
        <v>50</v>
      </c>
      <c r="F13" s="5" t="s">
        <v>51</v>
      </c>
      <c r="G13" s="7">
        <v>150</v>
      </c>
      <c r="H13" s="5">
        <v>9</v>
      </c>
      <c r="I13" s="7">
        <f t="shared" si="0"/>
        <v>1350</v>
      </c>
      <c r="J13" s="5" t="s">
        <v>67</v>
      </c>
      <c r="K13" s="18">
        <f t="shared" si="1"/>
        <v>243</v>
      </c>
      <c r="M13" t="str">
        <f>IF(Data!I13&gt;20000,"big","small")</f>
        <v>small</v>
      </c>
      <c r="N13" t="b">
        <f t="shared" si="2"/>
        <v>0</v>
      </c>
      <c r="O13" t="b">
        <f t="shared" si="3"/>
        <v>0</v>
      </c>
      <c r="P13" t="str">
        <f>IF(AND(Data!H13&gt;15,Data!G12&lt;1000),"review","ok")</f>
        <v>ok</v>
      </c>
    </row>
    <row r="14" spans="1:16" x14ac:dyDescent="0.3">
      <c r="A14" s="5">
        <v>1013</v>
      </c>
      <c r="B14" s="6">
        <v>46240</v>
      </c>
      <c r="C14" s="5" t="s">
        <v>59</v>
      </c>
      <c r="D14" s="5" t="s">
        <v>37</v>
      </c>
      <c r="E14" s="5" t="s">
        <v>53</v>
      </c>
      <c r="F14" s="5" t="s">
        <v>39</v>
      </c>
      <c r="G14" s="7">
        <v>800</v>
      </c>
      <c r="H14" s="5">
        <v>12</v>
      </c>
      <c r="I14" s="7">
        <f t="shared" si="0"/>
        <v>9600</v>
      </c>
      <c r="J14" s="5" t="s">
        <v>68</v>
      </c>
      <c r="K14" s="18">
        <f t="shared" si="1"/>
        <v>1728</v>
      </c>
      <c r="M14" t="str">
        <f>IF(Data!I14&gt;20000,"big","small")</f>
        <v>small</v>
      </c>
      <c r="N14" t="str">
        <f t="shared" si="2"/>
        <v>priority</v>
      </c>
      <c r="O14" t="str">
        <f t="shared" si="3"/>
        <v>discount</v>
      </c>
      <c r="P14" t="str">
        <f>IF(AND(Data!H14&gt;15,Data!G13&lt;1000),"review","ok")</f>
        <v>ok</v>
      </c>
    </row>
    <row r="15" spans="1:16" x14ac:dyDescent="0.3">
      <c r="A15" s="5">
        <v>1014</v>
      </c>
      <c r="B15" s="6">
        <v>46198</v>
      </c>
      <c r="C15" s="5" t="s">
        <v>63</v>
      </c>
      <c r="D15" s="5" t="s">
        <v>45</v>
      </c>
      <c r="E15" s="5" t="s">
        <v>46</v>
      </c>
      <c r="F15" s="5" t="s">
        <v>39</v>
      </c>
      <c r="G15" s="7">
        <v>500</v>
      </c>
      <c r="H15" s="5">
        <v>20</v>
      </c>
      <c r="I15" s="7">
        <f t="shared" si="0"/>
        <v>10000</v>
      </c>
      <c r="J15" s="5" t="s">
        <v>69</v>
      </c>
      <c r="K15" s="18">
        <f t="shared" si="1"/>
        <v>1800</v>
      </c>
      <c r="M15" t="str">
        <f>IF(Data!I15&gt;20000,"big","small")</f>
        <v>small</v>
      </c>
      <c r="N15" t="b">
        <f t="shared" si="2"/>
        <v>0</v>
      </c>
      <c r="O15" t="str">
        <f t="shared" si="3"/>
        <v>discount</v>
      </c>
      <c r="P15" t="str">
        <f>IF(AND(Data!H15&gt;15,Data!G14&lt;1000),"review","ok")</f>
        <v>review</v>
      </c>
    </row>
    <row r="16" spans="1:16" x14ac:dyDescent="0.3">
      <c r="A16" s="5">
        <v>1015</v>
      </c>
      <c r="B16" s="6">
        <v>46163</v>
      </c>
      <c r="C16" s="5" t="s">
        <v>55</v>
      </c>
      <c r="D16" s="5" t="s">
        <v>56</v>
      </c>
      <c r="E16" s="5" t="s">
        <v>53</v>
      </c>
      <c r="F16" s="5" t="s">
        <v>39</v>
      </c>
      <c r="G16" s="7">
        <v>800</v>
      </c>
      <c r="H16" s="5">
        <v>15</v>
      </c>
      <c r="I16" s="7">
        <f t="shared" si="0"/>
        <v>12000</v>
      </c>
      <c r="J16" s="5" t="s">
        <v>70</v>
      </c>
      <c r="K16" s="18">
        <f t="shared" si="1"/>
        <v>2160</v>
      </c>
      <c r="M16" t="str">
        <f>IF(Data!I16&gt;20000,"big","small")</f>
        <v>small</v>
      </c>
      <c r="N16" t="b">
        <f t="shared" si="2"/>
        <v>0</v>
      </c>
      <c r="O16" t="str">
        <f t="shared" si="3"/>
        <v>discount</v>
      </c>
      <c r="P16" t="str">
        <f>IF(AND(Data!H16&gt;15,Data!G15&lt;1000),"review","ok")</f>
        <v>ok</v>
      </c>
    </row>
    <row r="17" spans="1:16" x14ac:dyDescent="0.3">
      <c r="A17" s="5">
        <v>1016</v>
      </c>
      <c r="B17" s="6">
        <v>46190</v>
      </c>
      <c r="C17" s="5" t="s">
        <v>49</v>
      </c>
      <c r="D17" s="5" t="s">
        <v>45</v>
      </c>
      <c r="E17" s="5" t="s">
        <v>65</v>
      </c>
      <c r="F17" s="5" t="s">
        <v>39</v>
      </c>
      <c r="G17" s="7">
        <v>9000</v>
      </c>
      <c r="H17" s="5">
        <v>11</v>
      </c>
      <c r="I17" s="7">
        <f t="shared" si="0"/>
        <v>99000</v>
      </c>
      <c r="J17" s="5" t="s">
        <v>71</v>
      </c>
      <c r="K17" s="18">
        <f t="shared" si="1"/>
        <v>17820</v>
      </c>
      <c r="M17" t="str">
        <f>IF(Data!I17&gt;20000,"big","small")</f>
        <v>big</v>
      </c>
      <c r="N17" t="b">
        <f t="shared" si="2"/>
        <v>0</v>
      </c>
      <c r="O17" t="str">
        <f t="shared" si="3"/>
        <v>discount</v>
      </c>
      <c r="P17" t="str">
        <f>IF(AND(Data!H17&gt;15,Data!G16&lt;1000),"review","ok")</f>
        <v>ok</v>
      </c>
    </row>
    <row r="18" spans="1:16" x14ac:dyDescent="0.3">
      <c r="A18" s="5">
        <v>1017</v>
      </c>
      <c r="B18" s="6">
        <v>46085</v>
      </c>
      <c r="C18" s="5" t="s">
        <v>44</v>
      </c>
      <c r="D18" s="5" t="s">
        <v>45</v>
      </c>
      <c r="E18" s="5" t="s">
        <v>57</v>
      </c>
      <c r="F18" s="5" t="s">
        <v>51</v>
      </c>
      <c r="G18" s="7">
        <v>120</v>
      </c>
      <c r="H18" s="5">
        <v>13</v>
      </c>
      <c r="I18" s="7">
        <f t="shared" si="0"/>
        <v>1560</v>
      </c>
      <c r="J18" s="5" t="s">
        <v>72</v>
      </c>
      <c r="K18" s="18">
        <f t="shared" si="1"/>
        <v>280.8</v>
      </c>
      <c r="M18" t="str">
        <f>IF(Data!I18&gt;20000,"big","small")</f>
        <v>small</v>
      </c>
      <c r="N18" t="b">
        <f t="shared" si="2"/>
        <v>0</v>
      </c>
      <c r="O18" t="b">
        <f t="shared" si="3"/>
        <v>0</v>
      </c>
      <c r="P18" t="str">
        <f>IF(AND(Data!H18&gt;15,Data!G17&lt;1000),"review","ok")</f>
        <v>ok</v>
      </c>
    </row>
    <row r="19" spans="1:16" x14ac:dyDescent="0.3">
      <c r="A19" s="5">
        <v>1018</v>
      </c>
      <c r="B19" s="6">
        <v>46081</v>
      </c>
      <c r="C19" s="5" t="s">
        <v>73</v>
      </c>
      <c r="D19" s="5" t="s">
        <v>37</v>
      </c>
      <c r="E19" s="5" t="s">
        <v>57</v>
      </c>
      <c r="F19" s="5" t="s">
        <v>51</v>
      </c>
      <c r="G19" s="7">
        <v>120</v>
      </c>
      <c r="H19" s="5">
        <v>7</v>
      </c>
      <c r="I19" s="7">
        <f t="shared" si="0"/>
        <v>840</v>
      </c>
      <c r="J19" s="5" t="s">
        <v>74</v>
      </c>
      <c r="K19" s="18">
        <f t="shared" si="1"/>
        <v>151.19999999999999</v>
      </c>
      <c r="M19" t="str">
        <f>IF(Data!I19&gt;20000,"big","small")</f>
        <v>small</v>
      </c>
      <c r="N19" t="b">
        <f t="shared" si="2"/>
        <v>0</v>
      </c>
      <c r="O19" t="b">
        <f t="shared" si="3"/>
        <v>0</v>
      </c>
      <c r="P19" t="str">
        <f>IF(AND(Data!H19&gt;15,Data!G18&lt;1000),"review","ok")</f>
        <v>ok</v>
      </c>
    </row>
    <row r="20" spans="1:16" x14ac:dyDescent="0.3">
      <c r="A20" s="5">
        <v>1019</v>
      </c>
      <c r="B20" s="6">
        <v>46128</v>
      </c>
      <c r="C20" s="5" t="s">
        <v>61</v>
      </c>
      <c r="D20" s="5" t="s">
        <v>56</v>
      </c>
      <c r="E20" s="5" t="s">
        <v>53</v>
      </c>
      <c r="F20" s="5" t="s">
        <v>39</v>
      </c>
      <c r="G20" s="7">
        <v>800</v>
      </c>
      <c r="H20" s="5">
        <v>9</v>
      </c>
      <c r="I20" s="7">
        <f t="shared" si="0"/>
        <v>7200</v>
      </c>
      <c r="J20" s="5" t="s">
        <v>75</v>
      </c>
      <c r="K20" s="18">
        <f t="shared" si="1"/>
        <v>1296</v>
      </c>
      <c r="M20" t="str">
        <f>IF(Data!I20&gt;20000,"big","small")</f>
        <v>small</v>
      </c>
      <c r="N20" t="b">
        <f t="shared" si="2"/>
        <v>0</v>
      </c>
      <c r="O20" t="str">
        <f t="shared" si="3"/>
        <v>discount</v>
      </c>
      <c r="P20" t="str">
        <f>IF(AND(Data!H20&gt;15,Data!G19&lt;1000),"review","ok")</f>
        <v>ok</v>
      </c>
    </row>
    <row r="21" spans="1:16" x14ac:dyDescent="0.3">
      <c r="A21" s="5">
        <v>1020</v>
      </c>
      <c r="B21" s="6">
        <v>46217</v>
      </c>
      <c r="C21" s="5" t="s">
        <v>49</v>
      </c>
      <c r="D21" s="5" t="s">
        <v>45</v>
      </c>
      <c r="E21" s="5" t="s">
        <v>41</v>
      </c>
      <c r="F21" s="5" t="s">
        <v>42</v>
      </c>
      <c r="G21" s="7">
        <v>7000</v>
      </c>
      <c r="H21" s="5">
        <v>9</v>
      </c>
      <c r="I21" s="7">
        <f t="shared" si="0"/>
        <v>63000</v>
      </c>
      <c r="J21" s="5" t="s">
        <v>76</v>
      </c>
      <c r="K21" s="18">
        <f t="shared" si="1"/>
        <v>11340</v>
      </c>
      <c r="M21" t="str">
        <f>IF(Data!I21&gt;20000,"big","small")</f>
        <v>big</v>
      </c>
      <c r="N21" t="b">
        <f t="shared" si="2"/>
        <v>0</v>
      </c>
      <c r="O21" t="str">
        <f t="shared" si="3"/>
        <v>discount</v>
      </c>
      <c r="P21" t="str">
        <f>IF(AND(Data!H21&gt;15,Data!G20&lt;1000),"review","ok")</f>
        <v>ok</v>
      </c>
    </row>
    <row r="22" spans="1:16" x14ac:dyDescent="0.3">
      <c r="A22" s="5">
        <v>1021</v>
      </c>
      <c r="B22" s="6">
        <v>46136</v>
      </c>
      <c r="C22" s="5" t="s">
        <v>73</v>
      </c>
      <c r="D22" s="5" t="s">
        <v>37</v>
      </c>
      <c r="E22" s="5" t="s">
        <v>50</v>
      </c>
      <c r="F22" s="5" t="s">
        <v>51</v>
      </c>
      <c r="G22" s="7">
        <v>150</v>
      </c>
      <c r="H22" s="5">
        <v>12</v>
      </c>
      <c r="I22" s="7">
        <f t="shared" si="0"/>
        <v>1800</v>
      </c>
      <c r="J22" s="5" t="s">
        <v>77</v>
      </c>
      <c r="K22" s="18">
        <f t="shared" si="1"/>
        <v>324</v>
      </c>
      <c r="M22" t="str">
        <f>IF(Data!I22&gt;20000,"big","small")</f>
        <v>small</v>
      </c>
      <c r="N22" t="str">
        <f t="shared" si="2"/>
        <v>priority</v>
      </c>
      <c r="O22" t="b">
        <f t="shared" si="3"/>
        <v>0</v>
      </c>
      <c r="P22" t="str">
        <f>IF(AND(Data!H22&gt;15,Data!G21&lt;1000),"review","ok")</f>
        <v>ok</v>
      </c>
    </row>
    <row r="23" spans="1:16" x14ac:dyDescent="0.3">
      <c r="A23" s="5">
        <v>1022</v>
      </c>
      <c r="B23" s="6">
        <v>46157</v>
      </c>
      <c r="C23" s="5" t="s">
        <v>61</v>
      </c>
      <c r="D23" s="5" t="s">
        <v>56</v>
      </c>
      <c r="E23" s="5" t="s">
        <v>46</v>
      </c>
      <c r="F23" s="5" t="s">
        <v>39</v>
      </c>
      <c r="G23" s="7">
        <v>500</v>
      </c>
      <c r="H23" s="5">
        <v>2</v>
      </c>
      <c r="I23" s="7">
        <f t="shared" si="0"/>
        <v>1000</v>
      </c>
      <c r="J23" s="5" t="s">
        <v>78</v>
      </c>
      <c r="K23" s="18">
        <f t="shared" si="1"/>
        <v>180</v>
      </c>
      <c r="M23" t="str">
        <f>IF(Data!I23&gt;20000,"big","small")</f>
        <v>small</v>
      </c>
      <c r="N23" t="b">
        <f t="shared" si="2"/>
        <v>0</v>
      </c>
      <c r="O23" t="str">
        <f t="shared" si="3"/>
        <v>discount</v>
      </c>
      <c r="P23" t="str">
        <f>IF(AND(Data!H23&gt;15,Data!G22&lt;1000),"review","ok")</f>
        <v>ok</v>
      </c>
    </row>
    <row r="24" spans="1:16" x14ac:dyDescent="0.3">
      <c r="A24" s="5">
        <v>1023</v>
      </c>
      <c r="B24" s="6">
        <v>46187</v>
      </c>
      <c r="C24" s="5" t="s">
        <v>79</v>
      </c>
      <c r="D24" s="5" t="s">
        <v>80</v>
      </c>
      <c r="E24" s="5" t="s">
        <v>50</v>
      </c>
      <c r="F24" s="5" t="s">
        <v>51</v>
      </c>
      <c r="G24" s="7">
        <v>150</v>
      </c>
      <c r="H24" s="5">
        <v>20</v>
      </c>
      <c r="I24" s="7">
        <f t="shared" si="0"/>
        <v>3000</v>
      </c>
      <c r="J24" s="5" t="s">
        <v>81</v>
      </c>
      <c r="K24" s="18">
        <f t="shared" si="1"/>
        <v>540</v>
      </c>
      <c r="M24" t="str">
        <f>IF(Data!I24&gt;20000,"big","small")</f>
        <v>small</v>
      </c>
      <c r="N24" t="b">
        <f t="shared" si="2"/>
        <v>0</v>
      </c>
      <c r="O24" t="b">
        <f t="shared" si="3"/>
        <v>0</v>
      </c>
      <c r="P24" t="str">
        <f>IF(AND(Data!H24&gt;15,Data!G23&lt;1000),"review","ok")</f>
        <v>review</v>
      </c>
    </row>
    <row r="25" spans="1:16" x14ac:dyDescent="0.3">
      <c r="A25" s="5">
        <v>1024</v>
      </c>
      <c r="B25" s="6">
        <v>46124</v>
      </c>
      <c r="C25" s="5" t="s">
        <v>73</v>
      </c>
      <c r="D25" s="5" t="s">
        <v>37</v>
      </c>
      <c r="E25" s="5" t="s">
        <v>82</v>
      </c>
      <c r="F25" s="5" t="s">
        <v>42</v>
      </c>
      <c r="G25" s="7">
        <v>3500</v>
      </c>
      <c r="H25" s="5">
        <v>17</v>
      </c>
      <c r="I25" s="7">
        <f t="shared" si="0"/>
        <v>59500</v>
      </c>
      <c r="J25" s="5" t="s">
        <v>83</v>
      </c>
      <c r="K25" s="18">
        <f t="shared" si="1"/>
        <v>10710</v>
      </c>
      <c r="M25" t="str">
        <f>IF(Data!I25&gt;20000,"big","small")</f>
        <v>big</v>
      </c>
      <c r="N25" t="str">
        <f t="shared" si="2"/>
        <v>priority</v>
      </c>
      <c r="O25" t="str">
        <f t="shared" si="3"/>
        <v>discount</v>
      </c>
      <c r="P25" t="str">
        <f>IF(AND(Data!H25&gt;15,Data!G24&lt;1000),"review","ok")</f>
        <v>review</v>
      </c>
    </row>
    <row r="26" spans="1:16" x14ac:dyDescent="0.3">
      <c r="A26" s="5">
        <v>1025</v>
      </c>
      <c r="B26" s="6">
        <v>46247</v>
      </c>
      <c r="C26" s="5" t="s">
        <v>44</v>
      </c>
      <c r="D26" s="5" t="s">
        <v>45</v>
      </c>
      <c r="E26" s="5" t="s">
        <v>46</v>
      </c>
      <c r="F26" s="5" t="s">
        <v>39</v>
      </c>
      <c r="G26" s="7">
        <v>500</v>
      </c>
      <c r="H26" s="5">
        <v>18</v>
      </c>
      <c r="I26" s="7">
        <f t="shared" si="0"/>
        <v>9000</v>
      </c>
      <c r="J26" s="5" t="s">
        <v>84</v>
      </c>
      <c r="K26" s="18">
        <f t="shared" si="1"/>
        <v>1620</v>
      </c>
      <c r="M26" t="str">
        <f>IF(Data!I26&gt;20000,"big","small")</f>
        <v>small</v>
      </c>
      <c r="N26" t="b">
        <f t="shared" si="2"/>
        <v>0</v>
      </c>
      <c r="O26" t="str">
        <f t="shared" si="3"/>
        <v>discount</v>
      </c>
      <c r="P26" t="str">
        <f>IF(AND(Data!H26&gt;15,Data!G25&lt;1000),"review","ok")</f>
        <v>ok</v>
      </c>
    </row>
    <row r="27" spans="1:16" x14ac:dyDescent="0.3">
      <c r="A27" s="5">
        <v>1026</v>
      </c>
      <c r="B27" s="6">
        <v>46223</v>
      </c>
      <c r="C27" s="5" t="s">
        <v>59</v>
      </c>
      <c r="D27" s="5" t="s">
        <v>37</v>
      </c>
      <c r="E27" s="5" t="s">
        <v>46</v>
      </c>
      <c r="F27" s="5" t="s">
        <v>39</v>
      </c>
      <c r="G27" s="7">
        <v>500</v>
      </c>
      <c r="H27" s="5">
        <v>10</v>
      </c>
      <c r="I27" s="7">
        <f t="shared" si="0"/>
        <v>5000</v>
      </c>
      <c r="J27" s="5" t="s">
        <v>85</v>
      </c>
      <c r="K27" s="18">
        <f t="shared" si="1"/>
        <v>900</v>
      </c>
      <c r="M27" t="str">
        <f>IF(Data!I27&gt;20000,"big","small")</f>
        <v>small</v>
      </c>
      <c r="N27" t="b">
        <f t="shared" si="2"/>
        <v>0</v>
      </c>
      <c r="O27" t="str">
        <f t="shared" si="3"/>
        <v>discount</v>
      </c>
      <c r="P27" t="str">
        <f>IF(AND(Data!H27&gt;15,Data!G26&lt;1000),"review","ok")</f>
        <v>ok</v>
      </c>
    </row>
    <row r="28" spans="1:16" x14ac:dyDescent="0.3">
      <c r="A28" s="5">
        <v>1027</v>
      </c>
      <c r="B28" s="6">
        <v>46143</v>
      </c>
      <c r="C28" s="5" t="s">
        <v>44</v>
      </c>
      <c r="D28" s="5" t="s">
        <v>45</v>
      </c>
      <c r="E28" s="5" t="s">
        <v>86</v>
      </c>
      <c r="F28" s="5" t="s">
        <v>51</v>
      </c>
      <c r="G28" s="7">
        <v>50</v>
      </c>
      <c r="H28" s="5">
        <v>17</v>
      </c>
      <c r="I28" s="7">
        <f t="shared" si="0"/>
        <v>850</v>
      </c>
      <c r="J28" s="5" t="s">
        <v>87</v>
      </c>
      <c r="K28" s="18">
        <f t="shared" si="1"/>
        <v>153</v>
      </c>
      <c r="M28" t="str">
        <f>IF(Data!I28&gt;20000,"big","small")</f>
        <v>small</v>
      </c>
      <c r="N28" t="b">
        <f t="shared" si="2"/>
        <v>0</v>
      </c>
      <c r="O28" t="b">
        <f t="shared" si="3"/>
        <v>0</v>
      </c>
      <c r="P28" t="str">
        <f>IF(AND(Data!H28&gt;15,Data!G27&lt;1000),"review","ok")</f>
        <v>review</v>
      </c>
    </row>
    <row r="29" spans="1:16" x14ac:dyDescent="0.3">
      <c r="A29" s="5">
        <v>1028</v>
      </c>
      <c r="B29" s="6">
        <v>46156</v>
      </c>
      <c r="C29" s="5" t="s">
        <v>36</v>
      </c>
      <c r="D29" s="5" t="s">
        <v>37</v>
      </c>
      <c r="E29" s="5" t="s">
        <v>86</v>
      </c>
      <c r="F29" s="5" t="s">
        <v>51</v>
      </c>
      <c r="G29" s="7">
        <v>50</v>
      </c>
      <c r="H29" s="5">
        <v>17</v>
      </c>
      <c r="I29" s="7">
        <f t="shared" si="0"/>
        <v>850</v>
      </c>
      <c r="J29" s="5" t="s">
        <v>88</v>
      </c>
      <c r="K29" s="18">
        <f t="shared" si="1"/>
        <v>153</v>
      </c>
      <c r="M29" t="str">
        <f>IF(Data!I29&gt;20000,"big","small")</f>
        <v>small</v>
      </c>
      <c r="N29" t="b">
        <f t="shared" si="2"/>
        <v>0</v>
      </c>
      <c r="O29" t="b">
        <f t="shared" si="3"/>
        <v>0</v>
      </c>
      <c r="P29" t="str">
        <f>IF(AND(Data!H29&gt;15,Data!G28&lt;1000),"review","ok")</f>
        <v>review</v>
      </c>
    </row>
    <row r="30" spans="1:16" x14ac:dyDescent="0.3">
      <c r="A30" s="5">
        <v>1029</v>
      </c>
      <c r="B30" s="6">
        <v>46066</v>
      </c>
      <c r="C30" s="5" t="s">
        <v>59</v>
      </c>
      <c r="D30" s="5" t="s">
        <v>37</v>
      </c>
      <c r="E30" s="5" t="s">
        <v>53</v>
      </c>
      <c r="F30" s="5" t="s">
        <v>39</v>
      </c>
      <c r="G30" s="7">
        <v>800</v>
      </c>
      <c r="H30" s="5">
        <v>18</v>
      </c>
      <c r="I30" s="7">
        <f t="shared" si="0"/>
        <v>14400</v>
      </c>
      <c r="J30" s="5" t="s">
        <v>89</v>
      </c>
      <c r="K30" s="18">
        <f t="shared" si="1"/>
        <v>2592</v>
      </c>
      <c r="M30" t="str">
        <f>IF(Data!I30&gt;20000,"big","small")</f>
        <v>small</v>
      </c>
      <c r="N30" t="b">
        <f t="shared" si="2"/>
        <v>0</v>
      </c>
      <c r="O30" t="str">
        <f t="shared" si="3"/>
        <v>discount</v>
      </c>
      <c r="P30" t="str">
        <f>IF(AND(Data!H30&gt;15,Data!G29&lt;1000),"review","ok")</f>
        <v>review</v>
      </c>
    </row>
    <row r="31" spans="1:16" x14ac:dyDescent="0.3">
      <c r="A31" s="5">
        <v>1030</v>
      </c>
      <c r="B31" s="6">
        <v>46180</v>
      </c>
      <c r="C31" s="5" t="s">
        <v>59</v>
      </c>
      <c r="D31" s="5" t="s">
        <v>37</v>
      </c>
      <c r="E31" s="5" t="s">
        <v>82</v>
      </c>
      <c r="F31" s="5" t="s">
        <v>42</v>
      </c>
      <c r="G31" s="7">
        <v>3500</v>
      </c>
      <c r="H31" s="5">
        <v>1</v>
      </c>
      <c r="I31" s="7">
        <f t="shared" si="0"/>
        <v>3500</v>
      </c>
      <c r="J31" s="5" t="s">
        <v>90</v>
      </c>
      <c r="K31" s="18">
        <f t="shared" si="1"/>
        <v>630</v>
      </c>
      <c r="M31" t="str">
        <f>IF(Data!I31&gt;20000,"big","small")</f>
        <v>small</v>
      </c>
      <c r="N31" t="b">
        <f t="shared" si="2"/>
        <v>0</v>
      </c>
      <c r="O31" t="b">
        <f t="shared" si="3"/>
        <v>0</v>
      </c>
      <c r="P31" t="str">
        <f>IF(AND(Data!H31&gt;15,Data!G30&lt;1000),"review","ok")</f>
        <v>ok</v>
      </c>
    </row>
    <row r="32" spans="1:16" x14ac:dyDescent="0.3">
      <c r="A32" s="5">
        <v>1031</v>
      </c>
      <c r="B32" s="6">
        <v>46251</v>
      </c>
      <c r="C32" s="5" t="s">
        <v>63</v>
      </c>
      <c r="D32" s="5" t="s">
        <v>45</v>
      </c>
      <c r="E32" s="5" t="s">
        <v>65</v>
      </c>
      <c r="F32" s="5" t="s">
        <v>39</v>
      </c>
      <c r="G32" s="7">
        <v>9000</v>
      </c>
      <c r="H32" s="5">
        <v>2</v>
      </c>
      <c r="I32" s="7">
        <f t="shared" si="0"/>
        <v>18000</v>
      </c>
      <c r="J32" s="5" t="s">
        <v>91</v>
      </c>
      <c r="K32" s="18">
        <f t="shared" si="1"/>
        <v>3240</v>
      </c>
      <c r="M32" t="str">
        <f>IF(Data!I32&gt;20000,"big","small")</f>
        <v>small</v>
      </c>
      <c r="N32" t="b">
        <f t="shared" si="2"/>
        <v>0</v>
      </c>
      <c r="O32" t="str">
        <f t="shared" si="3"/>
        <v>discount</v>
      </c>
      <c r="P32" t="str">
        <f>IF(AND(Data!H32&gt;15,Data!G31&lt;1000),"review","ok")</f>
        <v>ok</v>
      </c>
    </row>
    <row r="33" spans="1:16" x14ac:dyDescent="0.3">
      <c r="A33" s="5">
        <v>1032</v>
      </c>
      <c r="B33" s="6">
        <v>46047</v>
      </c>
      <c r="C33" s="5" t="s">
        <v>36</v>
      </c>
      <c r="D33" s="5" t="s">
        <v>37</v>
      </c>
      <c r="E33" s="5" t="s">
        <v>82</v>
      </c>
      <c r="F33" s="5" t="s">
        <v>42</v>
      </c>
      <c r="G33" s="7">
        <v>3500</v>
      </c>
      <c r="H33" s="5">
        <v>3</v>
      </c>
      <c r="I33" s="7">
        <f t="shared" si="0"/>
        <v>10500</v>
      </c>
      <c r="J33" s="5" t="s">
        <v>92</v>
      </c>
      <c r="K33" s="18">
        <f t="shared" si="1"/>
        <v>1890</v>
      </c>
      <c r="M33" t="str">
        <f>IF(Data!I33&gt;20000,"big","small")</f>
        <v>small</v>
      </c>
      <c r="N33" t="b">
        <f t="shared" si="2"/>
        <v>0</v>
      </c>
      <c r="O33" t="b">
        <f t="shared" si="3"/>
        <v>0</v>
      </c>
      <c r="P33" t="str">
        <f>IF(AND(Data!H33&gt;15,Data!G32&lt;1000),"review","ok")</f>
        <v>ok</v>
      </c>
    </row>
    <row r="34" spans="1:16" x14ac:dyDescent="0.3">
      <c r="A34" s="5">
        <v>1033</v>
      </c>
      <c r="B34" s="6">
        <v>46223</v>
      </c>
      <c r="C34" s="5" t="s">
        <v>79</v>
      </c>
      <c r="D34" s="5" t="s">
        <v>80</v>
      </c>
      <c r="E34" s="5" t="s">
        <v>53</v>
      </c>
      <c r="F34" s="5" t="s">
        <v>39</v>
      </c>
      <c r="G34" s="7">
        <v>800</v>
      </c>
      <c r="H34" s="5">
        <v>16</v>
      </c>
      <c r="I34" s="7">
        <f t="shared" ref="I34:I63" si="4">G34*H34</f>
        <v>12800</v>
      </c>
      <c r="J34" s="5" t="s">
        <v>93</v>
      </c>
      <c r="K34" s="18">
        <f t="shared" si="1"/>
        <v>2304</v>
      </c>
      <c r="M34" t="str">
        <f>IF(Data!I34&gt;20000,"big","small")</f>
        <v>small</v>
      </c>
      <c r="N34" t="b">
        <f t="shared" si="2"/>
        <v>0</v>
      </c>
      <c r="O34" t="str">
        <f t="shared" si="3"/>
        <v>discount</v>
      </c>
      <c r="P34" t="str">
        <f>IF(AND(Data!H34&gt;15,Data!G33&lt;1000),"review","ok")</f>
        <v>ok</v>
      </c>
    </row>
    <row r="35" spans="1:16" x14ac:dyDescent="0.3">
      <c r="A35" s="5">
        <v>1034</v>
      </c>
      <c r="B35" s="6">
        <v>46094</v>
      </c>
      <c r="C35" s="5" t="s">
        <v>49</v>
      </c>
      <c r="D35" s="5" t="s">
        <v>45</v>
      </c>
      <c r="E35" s="5" t="s">
        <v>50</v>
      </c>
      <c r="F35" s="5" t="s">
        <v>51</v>
      </c>
      <c r="G35" s="7">
        <v>150</v>
      </c>
      <c r="H35" s="5">
        <v>7</v>
      </c>
      <c r="I35" s="7">
        <f t="shared" si="4"/>
        <v>1050</v>
      </c>
      <c r="J35" s="5" t="s">
        <v>94</v>
      </c>
      <c r="K35" s="18">
        <f t="shared" si="1"/>
        <v>189</v>
      </c>
      <c r="M35" t="str">
        <f>IF(Data!I35&gt;20000,"big","small")</f>
        <v>small</v>
      </c>
      <c r="N35" t="b">
        <f t="shared" si="2"/>
        <v>0</v>
      </c>
      <c r="O35" t="b">
        <f t="shared" si="3"/>
        <v>0</v>
      </c>
      <c r="P35" t="str">
        <f>IF(AND(Data!H35&gt;15,Data!G34&lt;1000),"review","ok")</f>
        <v>ok</v>
      </c>
    </row>
    <row r="36" spans="1:16" x14ac:dyDescent="0.3">
      <c r="A36" s="5">
        <v>1035</v>
      </c>
      <c r="B36" s="6">
        <v>46203</v>
      </c>
      <c r="C36" s="5" t="s">
        <v>55</v>
      </c>
      <c r="D36" s="5" t="s">
        <v>56</v>
      </c>
      <c r="E36" s="5" t="s">
        <v>86</v>
      </c>
      <c r="F36" s="5" t="s">
        <v>51</v>
      </c>
      <c r="G36" s="7">
        <v>50</v>
      </c>
      <c r="H36" s="5">
        <v>13</v>
      </c>
      <c r="I36" s="7">
        <f t="shared" si="4"/>
        <v>650</v>
      </c>
      <c r="J36" s="5" t="s">
        <v>95</v>
      </c>
      <c r="K36" s="18">
        <f t="shared" si="1"/>
        <v>117</v>
      </c>
      <c r="M36" t="str">
        <f>IF(Data!I36&gt;20000,"big","small")</f>
        <v>small</v>
      </c>
      <c r="N36" t="b">
        <f t="shared" si="2"/>
        <v>0</v>
      </c>
      <c r="O36" t="b">
        <f t="shared" si="3"/>
        <v>0</v>
      </c>
      <c r="P36" t="str">
        <f>IF(AND(Data!H36&gt;15,Data!G35&lt;1000),"review","ok")</f>
        <v>ok</v>
      </c>
    </row>
    <row r="37" spans="1:16" x14ac:dyDescent="0.3">
      <c r="A37" s="5">
        <v>1036</v>
      </c>
      <c r="B37" s="6">
        <v>46122</v>
      </c>
      <c r="C37" s="5" t="s">
        <v>61</v>
      </c>
      <c r="D37" s="5" t="s">
        <v>56</v>
      </c>
      <c r="E37" s="5" t="s">
        <v>41</v>
      </c>
      <c r="F37" s="5" t="s">
        <v>42</v>
      </c>
      <c r="G37" s="7">
        <v>7000</v>
      </c>
      <c r="H37" s="5">
        <v>15</v>
      </c>
      <c r="I37" s="7">
        <f t="shared" si="4"/>
        <v>105000</v>
      </c>
      <c r="J37" s="5" t="s">
        <v>96</v>
      </c>
      <c r="K37" s="18">
        <f t="shared" si="1"/>
        <v>18900</v>
      </c>
      <c r="M37" t="str">
        <f>IF(Data!I37&gt;20000,"big","small")</f>
        <v>big</v>
      </c>
      <c r="N37" t="b">
        <f t="shared" si="2"/>
        <v>0</v>
      </c>
      <c r="O37" t="str">
        <f t="shared" si="3"/>
        <v>discount</v>
      </c>
      <c r="P37" t="str">
        <f>IF(AND(Data!H37&gt;15,Data!G36&lt;1000),"review","ok")</f>
        <v>ok</v>
      </c>
    </row>
    <row r="38" spans="1:16" x14ac:dyDescent="0.3">
      <c r="A38" s="5">
        <v>1037</v>
      </c>
      <c r="B38" s="6">
        <v>46084</v>
      </c>
      <c r="C38" s="5" t="s">
        <v>36</v>
      </c>
      <c r="D38" s="5" t="s">
        <v>37</v>
      </c>
      <c r="E38" s="5" t="s">
        <v>57</v>
      </c>
      <c r="F38" s="5" t="s">
        <v>51</v>
      </c>
      <c r="G38" s="7">
        <v>120</v>
      </c>
      <c r="H38" s="5">
        <v>1</v>
      </c>
      <c r="I38" s="7">
        <f t="shared" si="4"/>
        <v>120</v>
      </c>
      <c r="J38" s="5" t="s">
        <v>97</v>
      </c>
      <c r="K38" s="18">
        <f t="shared" si="1"/>
        <v>21.599999999999998</v>
      </c>
      <c r="M38" t="str">
        <f>IF(Data!I38&gt;20000,"big","small")</f>
        <v>small</v>
      </c>
      <c r="N38" t="b">
        <f t="shared" si="2"/>
        <v>0</v>
      </c>
      <c r="O38" t="b">
        <f t="shared" si="3"/>
        <v>0</v>
      </c>
      <c r="P38" t="str">
        <f>IF(AND(Data!H38&gt;15,Data!G37&lt;1000),"review","ok")</f>
        <v>ok</v>
      </c>
    </row>
    <row r="39" spans="1:16" x14ac:dyDescent="0.3">
      <c r="A39" s="5">
        <v>1038</v>
      </c>
      <c r="B39" s="6">
        <v>46085</v>
      </c>
      <c r="C39" s="5" t="s">
        <v>73</v>
      </c>
      <c r="D39" s="5" t="s">
        <v>37</v>
      </c>
      <c r="E39" s="5" t="s">
        <v>65</v>
      </c>
      <c r="F39" s="5" t="s">
        <v>39</v>
      </c>
      <c r="G39" s="7">
        <v>9000</v>
      </c>
      <c r="H39" s="5">
        <v>1</v>
      </c>
      <c r="I39" s="7">
        <f t="shared" si="4"/>
        <v>9000</v>
      </c>
      <c r="J39" s="5" t="s">
        <v>98</v>
      </c>
      <c r="K39" s="18">
        <f t="shared" si="1"/>
        <v>1620</v>
      </c>
      <c r="M39" t="str">
        <f>IF(Data!I39&gt;20000,"big","small")</f>
        <v>small</v>
      </c>
      <c r="N39" t="b">
        <f t="shared" si="2"/>
        <v>0</v>
      </c>
      <c r="O39" t="str">
        <f t="shared" si="3"/>
        <v>discount</v>
      </c>
      <c r="P39" t="str">
        <f>IF(AND(Data!H39&gt;15,Data!G38&lt;1000),"review","ok")</f>
        <v>ok</v>
      </c>
    </row>
    <row r="40" spans="1:16" x14ac:dyDescent="0.3">
      <c r="A40" s="5">
        <v>1039</v>
      </c>
      <c r="B40" s="6">
        <v>46188</v>
      </c>
      <c r="C40" s="5" t="s">
        <v>44</v>
      </c>
      <c r="D40" s="5" t="s">
        <v>45</v>
      </c>
      <c r="E40" s="5" t="s">
        <v>65</v>
      </c>
      <c r="F40" s="5" t="s">
        <v>39</v>
      </c>
      <c r="G40" s="7">
        <v>9000</v>
      </c>
      <c r="H40" s="5">
        <v>3</v>
      </c>
      <c r="I40" s="7">
        <f t="shared" si="4"/>
        <v>27000</v>
      </c>
      <c r="J40" s="5" t="s">
        <v>99</v>
      </c>
      <c r="K40" s="18">
        <f t="shared" si="1"/>
        <v>4860</v>
      </c>
      <c r="M40" t="str">
        <f>IF(Data!I40&gt;20000,"big","small")</f>
        <v>big</v>
      </c>
      <c r="N40" t="b">
        <f t="shared" si="2"/>
        <v>0</v>
      </c>
      <c r="O40" t="str">
        <f t="shared" si="3"/>
        <v>discount</v>
      </c>
      <c r="P40" t="str">
        <f>IF(AND(Data!H40&gt;15,Data!G39&lt;1000),"review","ok")</f>
        <v>ok</v>
      </c>
    </row>
    <row r="41" spans="1:16" x14ac:dyDescent="0.3">
      <c r="A41" s="5">
        <v>1040</v>
      </c>
      <c r="B41" s="6">
        <v>46045</v>
      </c>
      <c r="C41" s="5" t="s">
        <v>49</v>
      </c>
      <c r="D41" s="5" t="s">
        <v>45</v>
      </c>
      <c r="E41" s="5" t="s">
        <v>65</v>
      </c>
      <c r="F41" s="5" t="s">
        <v>39</v>
      </c>
      <c r="G41" s="7">
        <v>9000</v>
      </c>
      <c r="H41" s="5">
        <v>9</v>
      </c>
      <c r="I41" s="7">
        <f t="shared" si="4"/>
        <v>81000</v>
      </c>
      <c r="J41" s="5" t="s">
        <v>100</v>
      </c>
      <c r="K41" s="18">
        <f t="shared" si="1"/>
        <v>14580</v>
      </c>
      <c r="M41" t="str">
        <f>IF(Data!I41&gt;20000,"big","small")</f>
        <v>big</v>
      </c>
      <c r="N41" t="b">
        <f t="shared" si="2"/>
        <v>0</v>
      </c>
      <c r="O41" t="str">
        <f t="shared" si="3"/>
        <v>discount</v>
      </c>
      <c r="P41" t="str">
        <f>IF(AND(Data!H41&gt;15,Data!G40&lt;1000),"review","ok")</f>
        <v>ok</v>
      </c>
    </row>
    <row r="42" spans="1:16" x14ac:dyDescent="0.3">
      <c r="A42" s="5">
        <v>1041</v>
      </c>
      <c r="B42" s="6">
        <v>46081</v>
      </c>
      <c r="C42" s="5" t="s">
        <v>49</v>
      </c>
      <c r="D42" s="5" t="s">
        <v>45</v>
      </c>
      <c r="E42" s="5" t="s">
        <v>53</v>
      </c>
      <c r="F42" s="5" t="s">
        <v>39</v>
      </c>
      <c r="G42" s="7">
        <v>800</v>
      </c>
      <c r="H42" s="5">
        <v>19</v>
      </c>
      <c r="I42" s="7">
        <f t="shared" si="4"/>
        <v>15200</v>
      </c>
      <c r="J42" s="5" t="s">
        <v>101</v>
      </c>
      <c r="K42" s="18">
        <f t="shared" si="1"/>
        <v>2736</v>
      </c>
      <c r="M42" t="str">
        <f>IF(Data!I42&gt;20000,"big","small")</f>
        <v>small</v>
      </c>
      <c r="N42" t="b">
        <f t="shared" si="2"/>
        <v>0</v>
      </c>
      <c r="O42" t="str">
        <f t="shared" si="3"/>
        <v>discount</v>
      </c>
      <c r="P42" t="str">
        <f>IF(AND(Data!H42&gt;15,Data!G41&lt;1000),"review","ok")</f>
        <v>ok</v>
      </c>
    </row>
    <row r="43" spans="1:16" x14ac:dyDescent="0.3">
      <c r="A43" s="5">
        <v>1042</v>
      </c>
      <c r="B43" s="6">
        <v>46089</v>
      </c>
      <c r="C43" s="5" t="s">
        <v>61</v>
      </c>
      <c r="D43" s="5" t="s">
        <v>56</v>
      </c>
      <c r="E43" s="5" t="s">
        <v>50</v>
      </c>
      <c r="F43" s="5" t="s">
        <v>51</v>
      </c>
      <c r="G43" s="7">
        <v>150</v>
      </c>
      <c r="H43" s="5">
        <v>7</v>
      </c>
      <c r="I43" s="7">
        <f t="shared" si="4"/>
        <v>1050</v>
      </c>
      <c r="J43" s="5" t="s">
        <v>102</v>
      </c>
      <c r="K43" s="18">
        <f t="shared" si="1"/>
        <v>189</v>
      </c>
      <c r="M43" t="str">
        <f>IF(Data!I43&gt;20000,"big","small")</f>
        <v>small</v>
      </c>
      <c r="N43" t="b">
        <f t="shared" si="2"/>
        <v>0</v>
      </c>
      <c r="O43" t="b">
        <f t="shared" si="3"/>
        <v>0</v>
      </c>
      <c r="P43" t="str">
        <f>IF(AND(Data!H43&gt;15,Data!G42&lt;1000),"review","ok")</f>
        <v>ok</v>
      </c>
    </row>
    <row r="44" spans="1:16" x14ac:dyDescent="0.3">
      <c r="A44" s="5">
        <v>1043</v>
      </c>
      <c r="B44" s="6">
        <v>46195</v>
      </c>
      <c r="C44" s="5" t="s">
        <v>103</v>
      </c>
      <c r="D44" s="5" t="s">
        <v>80</v>
      </c>
      <c r="E44" s="5" t="s">
        <v>57</v>
      </c>
      <c r="F44" s="5" t="s">
        <v>51</v>
      </c>
      <c r="G44" s="7">
        <v>120</v>
      </c>
      <c r="H44" s="5">
        <v>14</v>
      </c>
      <c r="I44" s="7">
        <f t="shared" si="4"/>
        <v>1680</v>
      </c>
      <c r="J44" s="5" t="s">
        <v>104</v>
      </c>
      <c r="K44" s="18">
        <f t="shared" si="1"/>
        <v>302.39999999999998</v>
      </c>
      <c r="M44" t="str">
        <f>IF(Data!I44&gt;20000,"big","small")</f>
        <v>small</v>
      </c>
      <c r="N44" t="b">
        <f t="shared" si="2"/>
        <v>0</v>
      </c>
      <c r="O44" t="b">
        <f t="shared" si="3"/>
        <v>0</v>
      </c>
      <c r="P44" t="str">
        <f>IF(AND(Data!H44&gt;15,Data!G43&lt;1000),"review","ok")</f>
        <v>ok</v>
      </c>
    </row>
    <row r="45" spans="1:16" x14ac:dyDescent="0.3">
      <c r="A45" s="5">
        <v>1044</v>
      </c>
      <c r="B45" s="6">
        <v>46248</v>
      </c>
      <c r="C45" s="5" t="s">
        <v>44</v>
      </c>
      <c r="D45" s="5" t="s">
        <v>45</v>
      </c>
      <c r="E45" s="5" t="s">
        <v>46</v>
      </c>
      <c r="F45" s="5" t="s">
        <v>39</v>
      </c>
      <c r="G45" s="7">
        <v>500</v>
      </c>
      <c r="H45" s="5">
        <v>2</v>
      </c>
      <c r="I45" s="7">
        <f t="shared" si="4"/>
        <v>1000</v>
      </c>
      <c r="J45" s="5" t="s">
        <v>105</v>
      </c>
      <c r="K45" s="18">
        <f t="shared" si="1"/>
        <v>180</v>
      </c>
      <c r="M45" t="str">
        <f>IF(Data!I45&gt;20000,"big","small")</f>
        <v>small</v>
      </c>
      <c r="N45" t="b">
        <f t="shared" si="2"/>
        <v>0</v>
      </c>
      <c r="O45" t="str">
        <f t="shared" si="3"/>
        <v>discount</v>
      </c>
      <c r="P45" t="str">
        <f>IF(AND(Data!H45&gt;15,Data!G44&lt;1000),"review","ok")</f>
        <v>ok</v>
      </c>
    </row>
    <row r="46" spans="1:16" x14ac:dyDescent="0.3">
      <c r="A46" s="5">
        <v>1045</v>
      </c>
      <c r="B46" s="6">
        <v>46113</v>
      </c>
      <c r="C46" s="5" t="s">
        <v>36</v>
      </c>
      <c r="D46" s="5" t="s">
        <v>37</v>
      </c>
      <c r="E46" s="5" t="s">
        <v>65</v>
      </c>
      <c r="F46" s="5" t="s">
        <v>39</v>
      </c>
      <c r="G46" s="7">
        <v>9000</v>
      </c>
      <c r="H46" s="5">
        <v>7</v>
      </c>
      <c r="I46" s="7">
        <f t="shared" si="4"/>
        <v>63000</v>
      </c>
      <c r="J46" s="5" t="s">
        <v>106</v>
      </c>
      <c r="K46" s="18">
        <f t="shared" si="1"/>
        <v>11340</v>
      </c>
      <c r="M46" t="str">
        <f>IF(Data!I46&gt;20000,"big","small")</f>
        <v>big</v>
      </c>
      <c r="N46" t="b">
        <f t="shared" si="2"/>
        <v>0</v>
      </c>
      <c r="O46" t="str">
        <f t="shared" si="3"/>
        <v>discount</v>
      </c>
      <c r="P46" t="str">
        <f>IF(AND(Data!H46&gt;15,Data!G45&lt;1000),"review","ok")</f>
        <v>ok</v>
      </c>
    </row>
    <row r="47" spans="1:16" x14ac:dyDescent="0.3">
      <c r="A47" s="5">
        <v>1046</v>
      </c>
      <c r="B47" s="6">
        <v>46141</v>
      </c>
      <c r="C47" s="5" t="s">
        <v>79</v>
      </c>
      <c r="D47" s="5" t="s">
        <v>80</v>
      </c>
      <c r="E47" s="5" t="s">
        <v>50</v>
      </c>
      <c r="F47" s="5" t="s">
        <v>51</v>
      </c>
      <c r="G47" s="7">
        <v>150</v>
      </c>
      <c r="H47" s="5">
        <v>6</v>
      </c>
      <c r="I47" s="7">
        <f t="shared" si="4"/>
        <v>900</v>
      </c>
      <c r="J47" s="5" t="s">
        <v>107</v>
      </c>
      <c r="K47" s="18">
        <f t="shared" si="1"/>
        <v>162</v>
      </c>
      <c r="M47" t="str">
        <f>IF(Data!I47&gt;20000,"big","small")</f>
        <v>small</v>
      </c>
      <c r="N47" t="b">
        <f t="shared" si="2"/>
        <v>0</v>
      </c>
      <c r="O47" t="b">
        <f t="shared" si="3"/>
        <v>0</v>
      </c>
      <c r="P47" t="str">
        <f>IF(AND(Data!H47&gt;15,Data!G46&lt;1000),"review","ok")</f>
        <v>ok</v>
      </c>
    </row>
    <row r="48" spans="1:16" x14ac:dyDescent="0.3">
      <c r="A48" s="5">
        <v>1047</v>
      </c>
      <c r="B48" s="6">
        <v>46090</v>
      </c>
      <c r="C48" s="5" t="s">
        <v>36</v>
      </c>
      <c r="D48" s="5" t="s">
        <v>37</v>
      </c>
      <c r="E48" s="5" t="s">
        <v>82</v>
      </c>
      <c r="F48" s="5" t="s">
        <v>42</v>
      </c>
      <c r="G48" s="7">
        <v>3500</v>
      </c>
      <c r="H48" s="5">
        <v>18</v>
      </c>
      <c r="I48" s="7">
        <f t="shared" si="4"/>
        <v>63000</v>
      </c>
      <c r="J48" s="5" t="s">
        <v>108</v>
      </c>
      <c r="K48" s="18">
        <f t="shared" si="1"/>
        <v>11340</v>
      </c>
      <c r="M48" t="str">
        <f>IF(Data!I48&gt;20000,"big","small")</f>
        <v>big</v>
      </c>
      <c r="N48" t="b">
        <f t="shared" si="2"/>
        <v>0</v>
      </c>
      <c r="O48" t="str">
        <f t="shared" si="3"/>
        <v>discount</v>
      </c>
      <c r="P48" t="str">
        <f>IF(AND(Data!H48&gt;15,Data!G47&lt;1000),"review","ok")</f>
        <v>review</v>
      </c>
    </row>
    <row r="49" spans="1:16" x14ac:dyDescent="0.3">
      <c r="A49" s="5">
        <v>1048</v>
      </c>
      <c r="B49" s="6">
        <v>46193</v>
      </c>
      <c r="C49" s="5" t="s">
        <v>49</v>
      </c>
      <c r="D49" s="5" t="s">
        <v>45</v>
      </c>
      <c r="E49" s="5" t="s">
        <v>38</v>
      </c>
      <c r="F49" s="5" t="s">
        <v>39</v>
      </c>
      <c r="G49" s="7">
        <v>55000</v>
      </c>
      <c r="H49" s="5">
        <v>3</v>
      </c>
      <c r="I49" s="7">
        <f t="shared" si="4"/>
        <v>165000</v>
      </c>
      <c r="J49" s="5" t="s">
        <v>109</v>
      </c>
      <c r="K49" s="18">
        <f t="shared" si="1"/>
        <v>29700</v>
      </c>
      <c r="M49" t="str">
        <f>IF(Data!I49&gt;20000,"big","small")</f>
        <v>big</v>
      </c>
      <c r="N49" t="b">
        <f t="shared" si="2"/>
        <v>0</v>
      </c>
      <c r="O49" t="str">
        <f t="shared" si="3"/>
        <v>discount</v>
      </c>
      <c r="P49" t="str">
        <f>IF(AND(Data!H49&gt;15,Data!G48&lt;1000),"review","ok")</f>
        <v>ok</v>
      </c>
    </row>
    <row r="50" spans="1:16" x14ac:dyDescent="0.3">
      <c r="A50" s="5">
        <v>1049</v>
      </c>
      <c r="B50" s="6">
        <v>46069</v>
      </c>
      <c r="C50" s="5" t="s">
        <v>103</v>
      </c>
      <c r="D50" s="5" t="s">
        <v>80</v>
      </c>
      <c r="E50" s="5" t="s">
        <v>82</v>
      </c>
      <c r="F50" s="5" t="s">
        <v>42</v>
      </c>
      <c r="G50" s="7">
        <v>3500</v>
      </c>
      <c r="H50" s="5">
        <v>16</v>
      </c>
      <c r="I50" s="7">
        <f t="shared" si="4"/>
        <v>56000</v>
      </c>
      <c r="J50" s="5" t="s">
        <v>110</v>
      </c>
      <c r="K50" s="18">
        <f t="shared" si="1"/>
        <v>10080</v>
      </c>
      <c r="M50" t="str">
        <f>IF(Data!I50&gt;20000,"big","small")</f>
        <v>big</v>
      </c>
      <c r="N50" t="b">
        <f t="shared" si="2"/>
        <v>0</v>
      </c>
      <c r="O50" t="str">
        <f t="shared" si="3"/>
        <v>discount</v>
      </c>
      <c r="P50" t="str">
        <f>IF(AND(Data!H50&gt;15,Data!G49&lt;1000),"review","ok")</f>
        <v>ok</v>
      </c>
    </row>
    <row r="51" spans="1:16" x14ac:dyDescent="0.3">
      <c r="A51" s="5">
        <v>1050</v>
      </c>
      <c r="B51" s="6">
        <v>46042</v>
      </c>
      <c r="C51" s="5" t="s">
        <v>79</v>
      </c>
      <c r="D51" s="5" t="s">
        <v>80</v>
      </c>
      <c r="E51" s="5" t="s">
        <v>50</v>
      </c>
      <c r="F51" s="5" t="s">
        <v>51</v>
      </c>
      <c r="G51" s="7">
        <v>150</v>
      </c>
      <c r="H51" s="5">
        <v>1</v>
      </c>
      <c r="I51" s="7">
        <f t="shared" si="4"/>
        <v>150</v>
      </c>
      <c r="J51" s="5" t="s">
        <v>111</v>
      </c>
      <c r="K51" s="18">
        <f t="shared" si="1"/>
        <v>27</v>
      </c>
      <c r="M51" t="str">
        <f>IF(Data!I51&gt;20000,"big","small")</f>
        <v>small</v>
      </c>
      <c r="N51" t="b">
        <f t="shared" si="2"/>
        <v>0</v>
      </c>
      <c r="O51" t="b">
        <f t="shared" si="3"/>
        <v>0</v>
      </c>
      <c r="P51" t="str">
        <f>IF(AND(Data!H51&gt;15,Data!G50&lt;1000),"review","ok")</f>
        <v>ok</v>
      </c>
    </row>
    <row r="52" spans="1:16" x14ac:dyDescent="0.3">
      <c r="A52" s="5">
        <v>1051</v>
      </c>
      <c r="B52" s="6">
        <v>46227</v>
      </c>
      <c r="C52" s="5" t="s">
        <v>61</v>
      </c>
      <c r="D52" s="5" t="s">
        <v>56</v>
      </c>
      <c r="E52" s="5" t="s">
        <v>86</v>
      </c>
      <c r="F52" s="5" t="s">
        <v>51</v>
      </c>
      <c r="G52" s="7">
        <v>50</v>
      </c>
      <c r="H52" s="5">
        <v>14</v>
      </c>
      <c r="I52" s="7">
        <f t="shared" si="4"/>
        <v>700</v>
      </c>
      <c r="J52" s="5" t="s">
        <v>112</v>
      </c>
      <c r="K52" s="18">
        <f t="shared" si="1"/>
        <v>126</v>
      </c>
      <c r="M52" t="str">
        <f>IF(Data!I52&gt;20000,"big","small")</f>
        <v>small</v>
      </c>
      <c r="N52" t="str">
        <f t="shared" si="2"/>
        <v>priority</v>
      </c>
      <c r="O52" t="b">
        <f t="shared" si="3"/>
        <v>0</v>
      </c>
      <c r="P52" t="str">
        <f>IF(AND(Data!H52&gt;15,Data!G51&lt;1000),"review","ok")</f>
        <v>ok</v>
      </c>
    </row>
    <row r="53" spans="1:16" x14ac:dyDescent="0.3">
      <c r="A53" s="5">
        <v>1052</v>
      </c>
      <c r="B53" s="6">
        <v>46227</v>
      </c>
      <c r="C53" s="5" t="s">
        <v>49</v>
      </c>
      <c r="D53" s="5" t="s">
        <v>45</v>
      </c>
      <c r="E53" s="5" t="s">
        <v>82</v>
      </c>
      <c r="F53" s="5" t="s">
        <v>42</v>
      </c>
      <c r="G53" s="7">
        <v>3500</v>
      </c>
      <c r="H53" s="5">
        <v>5</v>
      </c>
      <c r="I53" s="7">
        <f t="shared" si="4"/>
        <v>17500</v>
      </c>
      <c r="J53" s="5" t="s">
        <v>113</v>
      </c>
      <c r="K53" s="18">
        <f t="shared" si="1"/>
        <v>3150</v>
      </c>
      <c r="M53" t="str">
        <f>IF(Data!I53&gt;20000,"big","small")</f>
        <v>small</v>
      </c>
      <c r="N53" t="b">
        <f t="shared" si="2"/>
        <v>0</v>
      </c>
      <c r="O53" t="b">
        <f t="shared" si="3"/>
        <v>0</v>
      </c>
      <c r="P53" t="str">
        <f>IF(AND(Data!H53&gt;15,Data!G52&lt;1000),"review","ok")</f>
        <v>ok</v>
      </c>
    </row>
    <row r="54" spans="1:16" x14ac:dyDescent="0.3">
      <c r="A54" s="5">
        <v>1053</v>
      </c>
      <c r="B54" s="6">
        <v>46082</v>
      </c>
      <c r="C54" s="5" t="s">
        <v>44</v>
      </c>
      <c r="D54" s="5" t="s">
        <v>45</v>
      </c>
      <c r="E54" s="5" t="s">
        <v>41</v>
      </c>
      <c r="F54" s="5" t="s">
        <v>42</v>
      </c>
      <c r="G54" s="7">
        <v>7000</v>
      </c>
      <c r="H54" s="5">
        <v>2</v>
      </c>
      <c r="I54" s="7">
        <f t="shared" si="4"/>
        <v>14000</v>
      </c>
      <c r="J54" s="5" t="s">
        <v>114</v>
      </c>
      <c r="K54" s="18">
        <f t="shared" si="1"/>
        <v>2520</v>
      </c>
      <c r="M54" t="str">
        <f>IF(Data!I54&gt;20000,"big","small")</f>
        <v>small</v>
      </c>
      <c r="N54" t="b">
        <f t="shared" si="2"/>
        <v>0</v>
      </c>
      <c r="O54" t="b">
        <f t="shared" si="3"/>
        <v>0</v>
      </c>
      <c r="P54" t="str">
        <f>IF(AND(Data!H54&gt;15,Data!G53&lt;1000),"review","ok")</f>
        <v>ok</v>
      </c>
    </row>
    <row r="55" spans="1:16" x14ac:dyDescent="0.3">
      <c r="A55" s="5">
        <v>1054</v>
      </c>
      <c r="B55" s="6">
        <v>46041</v>
      </c>
      <c r="C55" s="5" t="s">
        <v>44</v>
      </c>
      <c r="D55" s="5" t="s">
        <v>45</v>
      </c>
      <c r="E55" s="5" t="s">
        <v>82</v>
      </c>
      <c r="F55" s="5" t="s">
        <v>42</v>
      </c>
      <c r="G55" s="7">
        <v>3500</v>
      </c>
      <c r="H55" s="5">
        <v>17</v>
      </c>
      <c r="I55" s="7">
        <f t="shared" si="4"/>
        <v>59500</v>
      </c>
      <c r="J55" s="5" t="s">
        <v>115</v>
      </c>
      <c r="K55" s="18">
        <f t="shared" si="1"/>
        <v>10710</v>
      </c>
      <c r="M55" t="str">
        <f>IF(Data!I55&gt;20000,"big","small")</f>
        <v>big</v>
      </c>
      <c r="N55" t="b">
        <f t="shared" si="2"/>
        <v>0</v>
      </c>
      <c r="O55" t="str">
        <f t="shared" si="3"/>
        <v>discount</v>
      </c>
      <c r="P55" t="str">
        <f>IF(AND(Data!H55&gt;15,Data!G54&lt;1000),"review","ok")</f>
        <v>ok</v>
      </c>
    </row>
    <row r="56" spans="1:16" x14ac:dyDescent="0.3">
      <c r="A56" s="5">
        <v>1055</v>
      </c>
      <c r="B56" s="6">
        <v>46041</v>
      </c>
      <c r="C56" s="5" t="s">
        <v>49</v>
      </c>
      <c r="D56" s="5" t="s">
        <v>45</v>
      </c>
      <c r="E56" s="5" t="s">
        <v>46</v>
      </c>
      <c r="F56" s="5" t="s">
        <v>39</v>
      </c>
      <c r="G56" s="7">
        <v>500</v>
      </c>
      <c r="H56" s="5">
        <v>6</v>
      </c>
      <c r="I56" s="7">
        <f t="shared" si="4"/>
        <v>3000</v>
      </c>
      <c r="J56" s="5" t="s">
        <v>116</v>
      </c>
      <c r="K56" s="18">
        <f t="shared" si="1"/>
        <v>540</v>
      </c>
      <c r="M56" t="str">
        <f>IF(Data!I56&gt;20000,"big","small")</f>
        <v>small</v>
      </c>
      <c r="N56" t="b">
        <f t="shared" si="2"/>
        <v>0</v>
      </c>
      <c r="O56" t="str">
        <f t="shared" si="3"/>
        <v>discount</v>
      </c>
      <c r="P56" t="str">
        <f>IF(AND(Data!H56&gt;15,Data!G55&lt;1000),"review","ok")</f>
        <v>ok</v>
      </c>
    </row>
    <row r="57" spans="1:16" x14ac:dyDescent="0.3">
      <c r="A57" s="5">
        <v>1056</v>
      </c>
      <c r="B57" s="6">
        <v>46044</v>
      </c>
      <c r="C57" s="5" t="s">
        <v>55</v>
      </c>
      <c r="D57" s="5" t="s">
        <v>56</v>
      </c>
      <c r="E57" s="5" t="s">
        <v>50</v>
      </c>
      <c r="F57" s="5" t="s">
        <v>51</v>
      </c>
      <c r="G57" s="7">
        <v>150</v>
      </c>
      <c r="H57" s="5">
        <v>4</v>
      </c>
      <c r="I57" s="7">
        <f t="shared" si="4"/>
        <v>600</v>
      </c>
      <c r="J57" s="5" t="s">
        <v>117</v>
      </c>
      <c r="K57" s="18">
        <f t="shared" si="1"/>
        <v>108</v>
      </c>
      <c r="M57" t="str">
        <f>IF(Data!I57&gt;20000,"big","small")</f>
        <v>small</v>
      </c>
      <c r="N57" t="b">
        <f t="shared" si="2"/>
        <v>0</v>
      </c>
      <c r="O57" t="b">
        <f t="shared" si="3"/>
        <v>0</v>
      </c>
      <c r="P57" t="str">
        <f>IF(AND(Data!H57&gt;15,Data!G56&lt;1000),"review","ok")</f>
        <v>ok</v>
      </c>
    </row>
    <row r="58" spans="1:16" x14ac:dyDescent="0.3">
      <c r="A58" s="5">
        <v>1057</v>
      </c>
      <c r="B58" s="6">
        <v>46175</v>
      </c>
      <c r="C58" s="5" t="s">
        <v>73</v>
      </c>
      <c r="D58" s="5" t="s">
        <v>37</v>
      </c>
      <c r="E58" s="5" t="s">
        <v>38</v>
      </c>
      <c r="F58" s="5" t="s">
        <v>39</v>
      </c>
      <c r="G58" s="7">
        <v>55000</v>
      </c>
      <c r="H58" s="5">
        <v>20</v>
      </c>
      <c r="I58" s="7">
        <f t="shared" si="4"/>
        <v>1100000</v>
      </c>
      <c r="J58" s="5" t="s">
        <v>118</v>
      </c>
      <c r="K58" s="18">
        <f t="shared" si="1"/>
        <v>198000</v>
      </c>
      <c r="M58" t="str">
        <f>IF(Data!I58&gt;20000,"big","small")</f>
        <v>big</v>
      </c>
      <c r="N58" t="b">
        <f t="shared" si="2"/>
        <v>0</v>
      </c>
      <c r="O58" t="str">
        <f t="shared" si="3"/>
        <v>discount</v>
      </c>
      <c r="P58" t="str">
        <f>IF(AND(Data!H58&gt;15,Data!G57&lt;1000),"review","ok")</f>
        <v>review</v>
      </c>
    </row>
    <row r="59" spans="1:16" x14ac:dyDescent="0.3">
      <c r="A59" s="5">
        <v>1058</v>
      </c>
      <c r="B59" s="6">
        <v>46195</v>
      </c>
      <c r="C59" s="5" t="s">
        <v>73</v>
      </c>
      <c r="D59" s="5" t="s">
        <v>37</v>
      </c>
      <c r="E59" s="5" t="s">
        <v>41</v>
      </c>
      <c r="F59" s="5" t="s">
        <v>42</v>
      </c>
      <c r="G59" s="7">
        <v>7000</v>
      </c>
      <c r="H59" s="5">
        <v>11</v>
      </c>
      <c r="I59" s="7">
        <f t="shared" si="4"/>
        <v>77000</v>
      </c>
      <c r="J59" s="5" t="s">
        <v>119</v>
      </c>
      <c r="K59" s="18">
        <f t="shared" si="1"/>
        <v>13860</v>
      </c>
      <c r="M59" t="str">
        <f>IF(Data!I59&gt;20000,"big","small")</f>
        <v>big</v>
      </c>
      <c r="N59" t="b">
        <f t="shared" si="2"/>
        <v>0</v>
      </c>
      <c r="O59" t="str">
        <f t="shared" si="3"/>
        <v>discount</v>
      </c>
      <c r="P59" t="str">
        <f>IF(AND(Data!H59&gt;15,Data!G58&lt;1000),"review","ok")</f>
        <v>ok</v>
      </c>
    </row>
    <row r="60" spans="1:16" x14ac:dyDescent="0.3">
      <c r="A60" s="5">
        <v>1059</v>
      </c>
      <c r="B60" s="6">
        <v>46198</v>
      </c>
      <c r="C60" s="5" t="s">
        <v>59</v>
      </c>
      <c r="D60" s="5" t="s">
        <v>37</v>
      </c>
      <c r="E60" s="5" t="s">
        <v>65</v>
      </c>
      <c r="F60" s="5" t="s">
        <v>39</v>
      </c>
      <c r="G60" s="7">
        <v>9000</v>
      </c>
      <c r="H60" s="5">
        <v>9</v>
      </c>
      <c r="I60" s="7">
        <f t="shared" si="4"/>
        <v>81000</v>
      </c>
      <c r="J60" s="5" t="s">
        <v>120</v>
      </c>
      <c r="K60" s="18">
        <f t="shared" si="1"/>
        <v>14580</v>
      </c>
      <c r="M60" t="str">
        <f>IF(Data!I60&gt;20000,"big","small")</f>
        <v>big</v>
      </c>
      <c r="N60" t="b">
        <f t="shared" si="2"/>
        <v>0</v>
      </c>
      <c r="O60" t="str">
        <f t="shared" si="3"/>
        <v>discount</v>
      </c>
      <c r="P60" t="str">
        <f>IF(AND(Data!H60&gt;15,Data!G59&lt;1000),"review","ok")</f>
        <v>ok</v>
      </c>
    </row>
    <row r="61" spans="1:16" x14ac:dyDescent="0.3">
      <c r="A61" s="5">
        <v>1060</v>
      </c>
      <c r="B61" s="6">
        <v>46198</v>
      </c>
      <c r="C61" s="5" t="s">
        <v>63</v>
      </c>
      <c r="D61" s="5" t="s">
        <v>45</v>
      </c>
      <c r="E61" s="5" t="s">
        <v>82</v>
      </c>
      <c r="F61" s="5" t="s">
        <v>42</v>
      </c>
      <c r="G61" s="7">
        <v>3500</v>
      </c>
      <c r="H61" s="5">
        <v>11</v>
      </c>
      <c r="I61" s="7">
        <f t="shared" si="4"/>
        <v>38500</v>
      </c>
      <c r="J61" s="5" t="s">
        <v>121</v>
      </c>
      <c r="K61" s="18">
        <f t="shared" si="1"/>
        <v>6930</v>
      </c>
      <c r="M61" t="str">
        <f>IF(Data!I61&gt;20000,"big","small")</f>
        <v>big</v>
      </c>
      <c r="N61" t="b">
        <f t="shared" si="2"/>
        <v>0</v>
      </c>
      <c r="O61" t="b">
        <f t="shared" si="3"/>
        <v>0</v>
      </c>
      <c r="P61" t="str">
        <f>IF(AND(Data!H61&gt;15,Data!G60&lt;1000),"review","ok")</f>
        <v>ok</v>
      </c>
    </row>
    <row r="62" spans="1:16" x14ac:dyDescent="0.3">
      <c r="A62" s="5">
        <v>1004</v>
      </c>
      <c r="B62" s="6">
        <v>46181</v>
      </c>
      <c r="C62" s="5" t="s">
        <v>44</v>
      </c>
      <c r="D62" s="5" t="s">
        <v>45</v>
      </c>
      <c r="E62" s="5" t="s">
        <v>41</v>
      </c>
      <c r="F62" s="5" t="s">
        <v>42</v>
      </c>
      <c r="G62" s="7">
        <v>7000</v>
      </c>
      <c r="H62" s="5">
        <v>7</v>
      </c>
      <c r="I62" s="7">
        <f t="shared" si="4"/>
        <v>49000</v>
      </c>
      <c r="J62" s="5" t="s">
        <v>48</v>
      </c>
      <c r="K62" s="18">
        <f t="shared" si="1"/>
        <v>8820</v>
      </c>
      <c r="M62" t="str">
        <f>IF(Data!I62&gt;20000,"big","small")</f>
        <v>big</v>
      </c>
      <c r="N62" t="b">
        <f t="shared" si="2"/>
        <v>0</v>
      </c>
      <c r="O62" t="b">
        <f t="shared" si="3"/>
        <v>0</v>
      </c>
      <c r="P62" t="str">
        <f>IF(AND(Data!H62&gt;15,Data!G61&lt;1000),"review","ok")</f>
        <v>ok</v>
      </c>
    </row>
    <row r="63" spans="1:16" x14ac:dyDescent="0.3">
      <c r="A63" s="5">
        <v>1004</v>
      </c>
      <c r="B63" s="6">
        <v>46181</v>
      </c>
      <c r="C63" s="5" t="s">
        <v>44</v>
      </c>
      <c r="D63" s="5" t="s">
        <v>45</v>
      </c>
      <c r="E63" s="5" t="s">
        <v>41</v>
      </c>
      <c r="F63" s="5" t="s">
        <v>42</v>
      </c>
      <c r="G63" s="7">
        <v>7000</v>
      </c>
      <c r="H63" s="5">
        <v>7</v>
      </c>
      <c r="I63" s="7">
        <f t="shared" si="4"/>
        <v>49000</v>
      </c>
      <c r="J63" s="5" t="s">
        <v>48</v>
      </c>
      <c r="K63" s="18">
        <f t="shared" si="1"/>
        <v>8820</v>
      </c>
      <c r="M63" t="str">
        <f>IF(Data!I63&gt;20000,"big","small")</f>
        <v>big</v>
      </c>
      <c r="N63" t="b">
        <f t="shared" si="2"/>
        <v>0</v>
      </c>
      <c r="O63" t="b">
        <f t="shared" si="3"/>
        <v>0</v>
      </c>
      <c r="P63" t="str">
        <f>IF(AND(Data!H63&gt;15,Data!G62&lt;1000),"review","ok")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EDDB-93DA-4B7A-8C07-07A5AD276A4A}">
  <dimension ref="A1:U62"/>
  <sheetViews>
    <sheetView workbookViewId="0">
      <selection activeCell="I32" sqref="I32"/>
    </sheetView>
  </sheetViews>
  <sheetFormatPr defaultRowHeight="14.4" x14ac:dyDescent="0.3"/>
  <cols>
    <col min="1" max="1" width="5.44140625" bestFit="1" customWidth="1"/>
    <col min="2" max="2" width="12.77734375" bestFit="1" customWidth="1"/>
    <col min="3" max="3" width="13.77734375" bestFit="1" customWidth="1"/>
    <col min="5" max="5" width="15.33203125" bestFit="1" customWidth="1"/>
    <col min="6" max="6" width="10.77734375" bestFit="1" customWidth="1"/>
    <col min="9" max="9" width="9.88671875" bestFit="1" customWidth="1"/>
    <col min="10" max="10" width="27.88671875" bestFit="1" customWidth="1"/>
    <col min="11" max="11" width="9.5546875" bestFit="1" customWidth="1"/>
  </cols>
  <sheetData>
    <row r="1" spans="1:21" x14ac:dyDescent="0.3">
      <c r="A1" s="5">
        <v>1057</v>
      </c>
      <c r="B1" s="6">
        <v>46175</v>
      </c>
      <c r="C1" s="5" t="s">
        <v>73</v>
      </c>
      <c r="D1" s="5" t="s">
        <v>37</v>
      </c>
      <c r="E1" s="5" t="s">
        <v>38</v>
      </c>
      <c r="F1" s="5" t="s">
        <v>39</v>
      </c>
      <c r="G1" s="7">
        <v>55000</v>
      </c>
      <c r="H1" s="5">
        <v>20</v>
      </c>
      <c r="I1" s="7">
        <f t="shared" ref="I1:I32" si="0">G1*H1</f>
        <v>1100000</v>
      </c>
      <c r="J1" s="5" t="s">
        <v>118</v>
      </c>
      <c r="K1" s="18"/>
      <c r="L1" cm="1">
        <f t="array" ref="L1:U60">_xlfn.UNIQUE(A1:J62)</f>
        <v>1057</v>
      </c>
      <c r="M1">
        <v>46175</v>
      </c>
      <c r="N1" t="str">
        <v>Simran Kaur</v>
      </c>
      <c r="O1" t="str">
        <v>South</v>
      </c>
      <c r="P1" t="str">
        <v>Laptop</v>
      </c>
      <c r="Q1" t="str">
        <v>Electronics</v>
      </c>
      <c r="R1">
        <v>55000</v>
      </c>
      <c r="S1">
        <v>20</v>
      </c>
      <c r="T1">
        <v>1100000</v>
      </c>
      <c r="U1" t="str">
        <v>simran.kaur11@yahoo.com</v>
      </c>
    </row>
    <row r="2" spans="1:21" x14ac:dyDescent="0.3">
      <c r="A2" s="5">
        <v>1001</v>
      </c>
      <c r="B2" s="6">
        <v>46190</v>
      </c>
      <c r="C2" s="5" t="s">
        <v>36</v>
      </c>
      <c r="D2" s="5" t="s">
        <v>37</v>
      </c>
      <c r="E2" s="5" t="s">
        <v>38</v>
      </c>
      <c r="F2" s="5" t="s">
        <v>39</v>
      </c>
      <c r="G2" s="7">
        <v>55000</v>
      </c>
      <c r="H2" s="5">
        <v>9</v>
      </c>
      <c r="I2" s="7">
        <f t="shared" si="0"/>
        <v>495000</v>
      </c>
      <c r="J2" s="5" t="s">
        <v>40</v>
      </c>
      <c r="K2" s="18"/>
      <c r="L2">
        <v>1001</v>
      </c>
      <c r="M2">
        <v>46190</v>
      </c>
      <c r="N2" t="str">
        <v>Priya Singh</v>
      </c>
      <c r="O2" t="str">
        <v>South</v>
      </c>
      <c r="P2" t="str">
        <v>Laptop</v>
      </c>
      <c r="Q2" t="str">
        <v>Electronics</v>
      </c>
      <c r="R2">
        <v>55000</v>
      </c>
      <c r="S2">
        <v>9</v>
      </c>
      <c r="T2">
        <v>495000</v>
      </c>
      <c r="U2" t="str">
        <v>priya.singh32@gmail.com</v>
      </c>
    </row>
    <row r="3" spans="1:21" x14ac:dyDescent="0.3">
      <c r="A3" s="5">
        <v>1048</v>
      </c>
      <c r="B3" s="6">
        <v>46193</v>
      </c>
      <c r="C3" s="5" t="s">
        <v>49</v>
      </c>
      <c r="D3" s="5" t="s">
        <v>45</v>
      </c>
      <c r="E3" s="5" t="s">
        <v>38</v>
      </c>
      <c r="F3" s="5" t="s">
        <v>39</v>
      </c>
      <c r="G3" s="7">
        <v>55000</v>
      </c>
      <c r="H3" s="5">
        <v>3</v>
      </c>
      <c r="I3" s="7">
        <f t="shared" si="0"/>
        <v>165000</v>
      </c>
      <c r="J3" s="5" t="s">
        <v>109</v>
      </c>
      <c r="K3" s="18"/>
      <c r="L3">
        <v>1048</v>
      </c>
      <c r="M3">
        <v>46193</v>
      </c>
      <c r="N3" t="str">
        <v>Rohan Das</v>
      </c>
      <c r="O3" t="str">
        <v>North</v>
      </c>
      <c r="P3" t="str">
        <v>Laptop</v>
      </c>
      <c r="Q3" t="str">
        <v>Electronics</v>
      </c>
      <c r="R3">
        <v>55000</v>
      </c>
      <c r="S3">
        <v>3</v>
      </c>
      <c r="T3">
        <v>165000</v>
      </c>
      <c r="U3" t="str">
        <v>rohan.das97@gmail.com</v>
      </c>
    </row>
    <row r="4" spans="1:21" x14ac:dyDescent="0.3">
      <c r="A4" s="5">
        <v>1036</v>
      </c>
      <c r="B4" s="6">
        <v>46122</v>
      </c>
      <c r="C4" s="5" t="s">
        <v>61</v>
      </c>
      <c r="D4" s="5" t="s">
        <v>56</v>
      </c>
      <c r="E4" s="5" t="s">
        <v>41</v>
      </c>
      <c r="F4" s="5" t="s">
        <v>42</v>
      </c>
      <c r="G4" s="7">
        <v>7000</v>
      </c>
      <c r="H4" s="5">
        <v>15</v>
      </c>
      <c r="I4" s="7">
        <f t="shared" si="0"/>
        <v>105000</v>
      </c>
      <c r="J4" s="5" t="s">
        <v>96</v>
      </c>
      <c r="K4" s="18"/>
      <c r="L4">
        <v>1036</v>
      </c>
      <c r="M4">
        <v>46122</v>
      </c>
      <c r="N4" t="str">
        <v>Kavita Nair</v>
      </c>
      <c r="O4" t="str">
        <v>West</v>
      </c>
      <c r="P4" t="str">
        <v>Office Desk</v>
      </c>
      <c r="Q4" t="str">
        <v>Furniture</v>
      </c>
      <c r="R4">
        <v>7000</v>
      </c>
      <c r="S4">
        <v>15</v>
      </c>
      <c r="T4">
        <v>105000</v>
      </c>
      <c r="U4" t="str">
        <v>kavita.nair16@gmail.com</v>
      </c>
    </row>
    <row r="5" spans="1:21" x14ac:dyDescent="0.3">
      <c r="A5" s="5">
        <v>1016</v>
      </c>
      <c r="B5" s="6">
        <v>46190</v>
      </c>
      <c r="C5" s="5" t="s">
        <v>49</v>
      </c>
      <c r="D5" s="5" t="s">
        <v>45</v>
      </c>
      <c r="E5" s="5" t="s">
        <v>65</v>
      </c>
      <c r="F5" s="5" t="s">
        <v>39</v>
      </c>
      <c r="G5" s="7">
        <v>9000</v>
      </c>
      <c r="H5" s="5">
        <v>11</v>
      </c>
      <c r="I5" s="7">
        <f t="shared" si="0"/>
        <v>99000</v>
      </c>
      <c r="J5" s="5" t="s">
        <v>71</v>
      </c>
      <c r="K5" s="18"/>
      <c r="L5">
        <v>1016</v>
      </c>
      <c r="M5">
        <v>46190</v>
      </c>
      <c r="N5" t="str">
        <v>Rohan Das</v>
      </c>
      <c r="O5" t="str">
        <v>North</v>
      </c>
      <c r="P5" t="str">
        <v>Monitor</v>
      </c>
      <c r="Q5" t="str">
        <v>Electronics</v>
      </c>
      <c r="R5">
        <v>9000</v>
      </c>
      <c r="S5">
        <v>11</v>
      </c>
      <c r="T5">
        <v>99000</v>
      </c>
      <c r="U5" t="str">
        <v>rohan.das99@gmail.com</v>
      </c>
    </row>
    <row r="6" spans="1:21" x14ac:dyDescent="0.3">
      <c r="A6" s="5">
        <v>1011</v>
      </c>
      <c r="B6" s="6">
        <v>46044</v>
      </c>
      <c r="C6" s="5" t="s">
        <v>44</v>
      </c>
      <c r="D6" s="5" t="s">
        <v>45</v>
      </c>
      <c r="E6" s="5" t="s">
        <v>65</v>
      </c>
      <c r="F6" s="5" t="s">
        <v>39</v>
      </c>
      <c r="G6" s="7">
        <v>9000</v>
      </c>
      <c r="H6" s="5">
        <v>10</v>
      </c>
      <c r="I6" s="7">
        <f t="shared" si="0"/>
        <v>90000</v>
      </c>
      <c r="J6" s="5" t="s">
        <v>66</v>
      </c>
      <c r="K6" s="18"/>
      <c r="L6">
        <v>1011</v>
      </c>
      <c r="M6">
        <v>46044</v>
      </c>
      <c r="N6" t="str">
        <v>Rahul Sharma</v>
      </c>
      <c r="O6" t="str">
        <v>North</v>
      </c>
      <c r="P6" t="str">
        <v>Monitor</v>
      </c>
      <c r="Q6" t="str">
        <v>Electronics</v>
      </c>
      <c r="R6">
        <v>9000</v>
      </c>
      <c r="S6">
        <v>10</v>
      </c>
      <c r="T6">
        <v>90000</v>
      </c>
      <c r="U6" t="str">
        <v>rahul.sharma11@gmail.com</v>
      </c>
    </row>
    <row r="7" spans="1:21" x14ac:dyDescent="0.3">
      <c r="A7" s="5">
        <v>1040</v>
      </c>
      <c r="B7" s="6">
        <v>46045</v>
      </c>
      <c r="C7" s="5" t="s">
        <v>49</v>
      </c>
      <c r="D7" s="5" t="s">
        <v>45</v>
      </c>
      <c r="E7" s="5" t="s">
        <v>65</v>
      </c>
      <c r="F7" s="5" t="s">
        <v>39</v>
      </c>
      <c r="G7" s="7">
        <v>9000</v>
      </c>
      <c r="H7" s="5">
        <v>9</v>
      </c>
      <c r="I7" s="7">
        <f t="shared" si="0"/>
        <v>81000</v>
      </c>
      <c r="J7" s="5" t="s">
        <v>100</v>
      </c>
      <c r="K7" s="18"/>
      <c r="L7">
        <v>1040</v>
      </c>
      <c r="M7">
        <v>46045</v>
      </c>
      <c r="N7" t="str">
        <v>Rohan Das</v>
      </c>
      <c r="O7" t="str">
        <v>North</v>
      </c>
      <c r="P7" t="str">
        <v>Monitor</v>
      </c>
      <c r="Q7" t="str">
        <v>Electronics</v>
      </c>
      <c r="R7">
        <v>9000</v>
      </c>
      <c r="S7">
        <v>9</v>
      </c>
      <c r="T7">
        <v>81000</v>
      </c>
      <c r="U7" t="str">
        <v>rohan.das86@yahoo.com</v>
      </c>
    </row>
    <row r="8" spans="1:21" x14ac:dyDescent="0.3">
      <c r="A8" s="5">
        <v>1059</v>
      </c>
      <c r="B8" s="6">
        <v>46198</v>
      </c>
      <c r="C8" s="5" t="s">
        <v>59</v>
      </c>
      <c r="D8" s="5" t="s">
        <v>37</v>
      </c>
      <c r="E8" s="5" t="s">
        <v>65</v>
      </c>
      <c r="F8" s="5" t="s">
        <v>39</v>
      </c>
      <c r="G8" s="7">
        <v>9000</v>
      </c>
      <c r="H8" s="5">
        <v>9</v>
      </c>
      <c r="I8" s="7">
        <f t="shared" si="0"/>
        <v>81000</v>
      </c>
      <c r="J8" s="5" t="s">
        <v>120</v>
      </c>
      <c r="K8" s="18"/>
      <c r="L8">
        <v>1059</v>
      </c>
      <c r="M8">
        <v>46198</v>
      </c>
      <c r="N8" t="str">
        <v>Anjali Mehta</v>
      </c>
      <c r="O8" t="str">
        <v>South</v>
      </c>
      <c r="P8" t="str">
        <v>Monitor</v>
      </c>
      <c r="Q8" t="str">
        <v>Electronics</v>
      </c>
      <c r="R8">
        <v>9000</v>
      </c>
      <c r="S8">
        <v>9</v>
      </c>
      <c r="T8">
        <v>81000</v>
      </c>
      <c r="U8" t="str">
        <v>anjali.mehta51@gmail.com</v>
      </c>
    </row>
    <row r="9" spans="1:21" x14ac:dyDescent="0.3">
      <c r="A9" s="5">
        <v>1058</v>
      </c>
      <c r="B9" s="6">
        <v>46195</v>
      </c>
      <c r="C9" s="5" t="s">
        <v>73</v>
      </c>
      <c r="D9" s="5" t="s">
        <v>37</v>
      </c>
      <c r="E9" s="5" t="s">
        <v>41</v>
      </c>
      <c r="F9" s="5" t="s">
        <v>42</v>
      </c>
      <c r="G9" s="7">
        <v>7000</v>
      </c>
      <c r="H9" s="5">
        <v>11</v>
      </c>
      <c r="I9" s="7">
        <f t="shared" si="0"/>
        <v>77000</v>
      </c>
      <c r="J9" s="5" t="s">
        <v>119</v>
      </c>
      <c r="K9" s="18"/>
      <c r="L9">
        <v>1058</v>
      </c>
      <c r="M9">
        <v>46195</v>
      </c>
      <c r="N9" t="str">
        <v>Simran Kaur</v>
      </c>
      <c r="O9" t="str">
        <v>South</v>
      </c>
      <c r="P9" t="str">
        <v>Office Desk</v>
      </c>
      <c r="Q9" t="str">
        <v>Furniture</v>
      </c>
      <c r="R9">
        <v>7000</v>
      </c>
      <c r="S9">
        <v>11</v>
      </c>
      <c r="T9">
        <v>77000</v>
      </c>
      <c r="U9" t="str">
        <v>simran.kaur34@gmail.com</v>
      </c>
    </row>
    <row r="10" spans="1:21" x14ac:dyDescent="0.3">
      <c r="A10" s="5">
        <v>1020</v>
      </c>
      <c r="B10" s="6">
        <v>46217</v>
      </c>
      <c r="C10" s="5" t="s">
        <v>49</v>
      </c>
      <c r="D10" s="5" t="s">
        <v>45</v>
      </c>
      <c r="E10" s="5" t="s">
        <v>41</v>
      </c>
      <c r="F10" s="5" t="s">
        <v>42</v>
      </c>
      <c r="G10" s="7">
        <v>7000</v>
      </c>
      <c r="H10" s="5">
        <v>9</v>
      </c>
      <c r="I10" s="7">
        <f t="shared" si="0"/>
        <v>63000</v>
      </c>
      <c r="J10" s="5" t="s">
        <v>76</v>
      </c>
      <c r="K10" s="18"/>
      <c r="L10">
        <v>1020</v>
      </c>
      <c r="M10">
        <v>46217</v>
      </c>
      <c r="N10" t="str">
        <v>Rohan Das</v>
      </c>
      <c r="O10" t="str">
        <v>North</v>
      </c>
      <c r="P10" t="str">
        <v>Office Desk</v>
      </c>
      <c r="Q10" t="str">
        <v>Furniture</v>
      </c>
      <c r="R10">
        <v>7000</v>
      </c>
      <c r="S10">
        <v>9</v>
      </c>
      <c r="T10">
        <v>63000</v>
      </c>
      <c r="U10" t="str">
        <v>rohan.das96@outlook.com</v>
      </c>
    </row>
    <row r="11" spans="1:21" x14ac:dyDescent="0.3">
      <c r="A11" s="5">
        <v>1045</v>
      </c>
      <c r="B11" s="6">
        <v>46113</v>
      </c>
      <c r="C11" s="5" t="s">
        <v>36</v>
      </c>
      <c r="D11" s="5" t="s">
        <v>37</v>
      </c>
      <c r="E11" s="5" t="s">
        <v>65</v>
      </c>
      <c r="F11" s="5" t="s">
        <v>39</v>
      </c>
      <c r="G11" s="7">
        <v>9000</v>
      </c>
      <c r="H11" s="5">
        <v>7</v>
      </c>
      <c r="I11" s="7">
        <f t="shared" si="0"/>
        <v>63000</v>
      </c>
      <c r="J11" s="5" t="s">
        <v>106</v>
      </c>
      <c r="K11" s="18"/>
      <c r="L11">
        <v>1045</v>
      </c>
      <c r="M11">
        <v>46113</v>
      </c>
      <c r="N11" t="str">
        <v>Priya Singh</v>
      </c>
      <c r="O11" t="str">
        <v>South</v>
      </c>
      <c r="P11" t="str">
        <v>Monitor</v>
      </c>
      <c r="Q11" t="str">
        <v>Electronics</v>
      </c>
      <c r="R11">
        <v>9000</v>
      </c>
      <c r="S11">
        <v>7</v>
      </c>
      <c r="T11">
        <v>63000</v>
      </c>
      <c r="U11" t="str">
        <v>priya.singh25@outlook.com</v>
      </c>
    </row>
    <row r="12" spans="1:21" x14ac:dyDescent="0.3">
      <c r="A12" s="5">
        <v>1047</v>
      </c>
      <c r="B12" s="6">
        <v>46090</v>
      </c>
      <c r="C12" s="5" t="s">
        <v>36</v>
      </c>
      <c r="D12" s="5" t="s">
        <v>37</v>
      </c>
      <c r="E12" s="5" t="s">
        <v>82</v>
      </c>
      <c r="F12" s="5" t="s">
        <v>42</v>
      </c>
      <c r="G12" s="7">
        <v>3500</v>
      </c>
      <c r="H12" s="5">
        <v>18</v>
      </c>
      <c r="I12" s="7">
        <f t="shared" si="0"/>
        <v>63000</v>
      </c>
      <c r="J12" s="5" t="s">
        <v>108</v>
      </c>
      <c r="K12" s="18"/>
      <c r="L12">
        <v>1047</v>
      </c>
      <c r="M12">
        <v>46090</v>
      </c>
      <c r="N12" t="str">
        <v>Priya Singh</v>
      </c>
      <c r="O12" t="str">
        <v>South</v>
      </c>
      <c r="P12" t="str">
        <v>Office Chair</v>
      </c>
      <c r="Q12" t="str">
        <v>Furniture</v>
      </c>
      <c r="R12">
        <v>3500</v>
      </c>
      <c r="S12">
        <v>18</v>
      </c>
      <c r="T12">
        <v>63000</v>
      </c>
      <c r="U12" t="str">
        <v>priya.singh13@gmail.com</v>
      </c>
    </row>
    <row r="13" spans="1:21" x14ac:dyDescent="0.3">
      <c r="A13" s="5">
        <v>1024</v>
      </c>
      <c r="B13" s="6">
        <v>46124</v>
      </c>
      <c r="C13" s="5" t="s">
        <v>73</v>
      </c>
      <c r="D13" s="5" t="s">
        <v>37</v>
      </c>
      <c r="E13" s="5" t="s">
        <v>82</v>
      </c>
      <c r="F13" s="5" t="s">
        <v>42</v>
      </c>
      <c r="G13" s="7">
        <v>3500</v>
      </c>
      <c r="H13" s="5">
        <v>17</v>
      </c>
      <c r="I13" s="7">
        <f t="shared" si="0"/>
        <v>59500</v>
      </c>
      <c r="J13" s="5" t="s">
        <v>83</v>
      </c>
      <c r="K13" s="18"/>
      <c r="L13">
        <v>1024</v>
      </c>
      <c r="M13">
        <v>46124</v>
      </c>
      <c r="N13" t="str">
        <v>Simran Kaur</v>
      </c>
      <c r="O13" t="str">
        <v>South</v>
      </c>
      <c r="P13" t="str">
        <v>Office Chair</v>
      </c>
      <c r="Q13" t="str">
        <v>Furniture</v>
      </c>
      <c r="R13">
        <v>3500</v>
      </c>
      <c r="S13">
        <v>17</v>
      </c>
      <c r="T13">
        <v>59500</v>
      </c>
      <c r="U13" t="str">
        <v>simran.kaur33@outlook.com</v>
      </c>
    </row>
    <row r="14" spans="1:21" x14ac:dyDescent="0.3">
      <c r="A14" s="5">
        <v>1054</v>
      </c>
      <c r="B14" s="6">
        <v>46041</v>
      </c>
      <c r="C14" s="5" t="s">
        <v>44</v>
      </c>
      <c r="D14" s="5" t="s">
        <v>45</v>
      </c>
      <c r="E14" s="5" t="s">
        <v>82</v>
      </c>
      <c r="F14" s="5" t="s">
        <v>42</v>
      </c>
      <c r="G14" s="7">
        <v>3500</v>
      </c>
      <c r="H14" s="5">
        <v>17</v>
      </c>
      <c r="I14" s="7">
        <f t="shared" si="0"/>
        <v>59500</v>
      </c>
      <c r="J14" s="5" t="s">
        <v>115</v>
      </c>
      <c r="K14" s="18"/>
      <c r="L14">
        <v>1054</v>
      </c>
      <c r="M14">
        <v>46041</v>
      </c>
      <c r="N14" t="str">
        <v>Rahul Sharma</v>
      </c>
      <c r="O14" t="str">
        <v>North</v>
      </c>
      <c r="P14" t="str">
        <v>Office Chair</v>
      </c>
      <c r="Q14" t="str">
        <v>Furniture</v>
      </c>
      <c r="R14">
        <v>3500</v>
      </c>
      <c r="S14">
        <v>17</v>
      </c>
      <c r="T14">
        <v>59500</v>
      </c>
      <c r="U14" t="str">
        <v>rahul.sharma68@gmail.com</v>
      </c>
    </row>
    <row r="15" spans="1:21" x14ac:dyDescent="0.3">
      <c r="A15" s="5">
        <v>1049</v>
      </c>
      <c r="B15" s="6">
        <v>46069</v>
      </c>
      <c r="C15" s="5" t="s">
        <v>103</v>
      </c>
      <c r="D15" s="5" t="s">
        <v>80</v>
      </c>
      <c r="E15" s="5" t="s">
        <v>82</v>
      </c>
      <c r="F15" s="5" t="s">
        <v>42</v>
      </c>
      <c r="G15" s="7">
        <v>3500</v>
      </c>
      <c r="H15" s="5">
        <v>16</v>
      </c>
      <c r="I15" s="7">
        <f t="shared" si="0"/>
        <v>56000</v>
      </c>
      <c r="J15" s="5" t="s">
        <v>110</v>
      </c>
      <c r="K15" s="18"/>
      <c r="L15">
        <v>1049</v>
      </c>
      <c r="M15">
        <v>46069</v>
      </c>
      <c r="N15" t="str">
        <v>Suresh Kumar</v>
      </c>
      <c r="O15" t="str">
        <v>East</v>
      </c>
      <c r="P15" t="str">
        <v>Office Chair</v>
      </c>
      <c r="Q15" t="str">
        <v>Furniture</v>
      </c>
      <c r="R15">
        <v>3500</v>
      </c>
      <c r="S15">
        <v>16</v>
      </c>
      <c r="T15">
        <v>56000</v>
      </c>
      <c r="U15" t="str">
        <v>suresh.kumar28@yahoo.com</v>
      </c>
    </row>
    <row r="16" spans="1:21" x14ac:dyDescent="0.3">
      <c r="A16" s="5">
        <v>1004</v>
      </c>
      <c r="B16" s="6">
        <v>46181</v>
      </c>
      <c r="C16" s="5" t="s">
        <v>44</v>
      </c>
      <c r="D16" s="5" t="s">
        <v>45</v>
      </c>
      <c r="E16" s="5" t="s">
        <v>41</v>
      </c>
      <c r="F16" s="5" t="s">
        <v>42</v>
      </c>
      <c r="G16" s="7">
        <v>7000</v>
      </c>
      <c r="H16" s="5">
        <v>7</v>
      </c>
      <c r="I16" s="7">
        <f t="shared" si="0"/>
        <v>49000</v>
      </c>
      <c r="J16" s="5" t="s">
        <v>48</v>
      </c>
      <c r="K16" s="18"/>
      <c r="L16">
        <v>1004</v>
      </c>
      <c r="M16">
        <v>46181</v>
      </c>
      <c r="N16" t="str">
        <v>Rahul Sharma</v>
      </c>
      <c r="O16" t="str">
        <v>North</v>
      </c>
      <c r="P16" t="str">
        <v>Office Desk</v>
      </c>
      <c r="Q16" t="str">
        <v>Furniture</v>
      </c>
      <c r="R16">
        <v>7000</v>
      </c>
      <c r="S16">
        <v>7</v>
      </c>
      <c r="T16">
        <v>49000</v>
      </c>
      <c r="U16" t="str">
        <v>rahul.sharma92@outlook.com</v>
      </c>
    </row>
    <row r="17" spans="1:21" x14ac:dyDescent="0.3">
      <c r="A17" s="5">
        <v>1004</v>
      </c>
      <c r="B17" s="6">
        <v>46181</v>
      </c>
      <c r="C17" s="5" t="s">
        <v>44</v>
      </c>
      <c r="D17" s="5" t="s">
        <v>45</v>
      </c>
      <c r="E17" s="5" t="s">
        <v>41</v>
      </c>
      <c r="F17" s="5" t="s">
        <v>42</v>
      </c>
      <c r="G17" s="7">
        <v>7000</v>
      </c>
      <c r="H17" s="5">
        <v>7</v>
      </c>
      <c r="I17" s="7">
        <f t="shared" si="0"/>
        <v>49000</v>
      </c>
      <c r="J17" s="5" t="s">
        <v>48</v>
      </c>
      <c r="K17" s="18"/>
      <c r="L17">
        <v>1060</v>
      </c>
      <c r="M17">
        <v>46198</v>
      </c>
      <c r="N17" t="str">
        <v>Vikram Rao</v>
      </c>
      <c r="O17" t="str">
        <v>North</v>
      </c>
      <c r="P17" t="str">
        <v>Office Chair</v>
      </c>
      <c r="Q17" t="str">
        <v>Furniture</v>
      </c>
      <c r="R17">
        <v>3500</v>
      </c>
      <c r="S17">
        <v>11</v>
      </c>
      <c r="T17">
        <v>38500</v>
      </c>
      <c r="U17" t="str">
        <v>vikram.rao97@gmail.com</v>
      </c>
    </row>
    <row r="18" spans="1:21" x14ac:dyDescent="0.3">
      <c r="A18" s="5">
        <v>1004</v>
      </c>
      <c r="B18" s="6">
        <v>46181</v>
      </c>
      <c r="C18" s="5" t="s">
        <v>44</v>
      </c>
      <c r="D18" s="5" t="s">
        <v>45</v>
      </c>
      <c r="E18" s="5" t="s">
        <v>41</v>
      </c>
      <c r="F18" s="5" t="s">
        <v>42</v>
      </c>
      <c r="G18" s="7">
        <v>7000</v>
      </c>
      <c r="H18" s="5">
        <v>7</v>
      </c>
      <c r="I18" s="7">
        <f t="shared" si="0"/>
        <v>49000</v>
      </c>
      <c r="J18" s="5" t="s">
        <v>48</v>
      </c>
      <c r="K18" s="18"/>
      <c r="L18">
        <v>1009</v>
      </c>
      <c r="M18">
        <v>46213</v>
      </c>
      <c r="N18" t="str">
        <v>Kavita Nair</v>
      </c>
      <c r="O18" t="str">
        <v>West</v>
      </c>
      <c r="P18" t="str">
        <v>Office Desk</v>
      </c>
      <c r="Q18" t="str">
        <v>Furniture</v>
      </c>
      <c r="R18">
        <v>7000</v>
      </c>
      <c r="S18">
        <v>4</v>
      </c>
      <c r="T18">
        <v>28000</v>
      </c>
      <c r="U18" t="str">
        <v>kavita.nair49@gmail.com</v>
      </c>
    </row>
    <row r="19" spans="1:21" x14ac:dyDescent="0.3">
      <c r="A19" s="5">
        <v>1060</v>
      </c>
      <c r="B19" s="6">
        <v>46198</v>
      </c>
      <c r="C19" s="5" t="s">
        <v>63</v>
      </c>
      <c r="D19" s="5" t="s">
        <v>45</v>
      </c>
      <c r="E19" s="5" t="s">
        <v>82</v>
      </c>
      <c r="F19" s="5" t="s">
        <v>42</v>
      </c>
      <c r="G19" s="7">
        <v>3500</v>
      </c>
      <c r="H19" s="5">
        <v>11</v>
      </c>
      <c r="I19" s="7">
        <f t="shared" si="0"/>
        <v>38500</v>
      </c>
      <c r="J19" s="5" t="s">
        <v>121</v>
      </c>
      <c r="K19" s="18"/>
      <c r="L19">
        <v>1039</v>
      </c>
      <c r="M19">
        <v>46188</v>
      </c>
      <c r="N19" t="str">
        <v>Rahul Sharma</v>
      </c>
      <c r="O19" t="str">
        <v>North</v>
      </c>
      <c r="P19" t="str">
        <v>Monitor</v>
      </c>
      <c r="Q19" t="str">
        <v>Electronics</v>
      </c>
      <c r="R19">
        <v>9000</v>
      </c>
      <c r="S19">
        <v>3</v>
      </c>
      <c r="T19">
        <v>27000</v>
      </c>
      <c r="U19" t="str">
        <v>rahul.sharma5@yahoo.com</v>
      </c>
    </row>
    <row r="20" spans="1:21" x14ac:dyDescent="0.3">
      <c r="A20" s="5">
        <v>1009</v>
      </c>
      <c r="B20" s="6">
        <v>46213</v>
      </c>
      <c r="C20" s="5" t="s">
        <v>61</v>
      </c>
      <c r="D20" s="5" t="s">
        <v>56</v>
      </c>
      <c r="E20" s="5" t="s">
        <v>41</v>
      </c>
      <c r="F20" s="5" t="s">
        <v>42</v>
      </c>
      <c r="G20" s="7">
        <v>7000</v>
      </c>
      <c r="H20" s="5">
        <v>4</v>
      </c>
      <c r="I20" s="7">
        <f t="shared" si="0"/>
        <v>28000</v>
      </c>
      <c r="J20" s="5" t="s">
        <v>62</v>
      </c>
      <c r="K20" s="18"/>
      <c r="L20">
        <v>1002</v>
      </c>
      <c r="M20">
        <v>46062</v>
      </c>
      <c r="N20" t="str">
        <v>Priya Singh</v>
      </c>
      <c r="O20" t="str">
        <v>South</v>
      </c>
      <c r="P20" t="str">
        <v>Office Desk</v>
      </c>
      <c r="Q20" t="str">
        <v>Furniture</v>
      </c>
      <c r="R20">
        <v>7000</v>
      </c>
      <c r="S20">
        <v>3</v>
      </c>
      <c r="T20">
        <v>21000</v>
      </c>
      <c r="U20" t="str">
        <v>priya.singh76@yahoo.com</v>
      </c>
    </row>
    <row r="21" spans="1:21" x14ac:dyDescent="0.3">
      <c r="A21" s="5">
        <v>1039</v>
      </c>
      <c r="B21" s="6">
        <v>46188</v>
      </c>
      <c r="C21" s="5" t="s">
        <v>44</v>
      </c>
      <c r="D21" s="5" t="s">
        <v>45</v>
      </c>
      <c r="E21" s="5" t="s">
        <v>65</v>
      </c>
      <c r="F21" s="5" t="s">
        <v>39</v>
      </c>
      <c r="G21" s="7">
        <v>9000</v>
      </c>
      <c r="H21" s="5">
        <v>3</v>
      </c>
      <c r="I21" s="7">
        <f t="shared" si="0"/>
        <v>27000</v>
      </c>
      <c r="J21" s="5" t="s">
        <v>99</v>
      </c>
      <c r="K21" s="18"/>
      <c r="L21">
        <v>1031</v>
      </c>
      <c r="M21">
        <v>46251</v>
      </c>
      <c r="N21" t="str">
        <v>Vikram Rao</v>
      </c>
      <c r="O21" t="str">
        <v>North</v>
      </c>
      <c r="P21" t="str">
        <v>Monitor</v>
      </c>
      <c r="Q21" t="str">
        <v>Electronics</v>
      </c>
      <c r="R21">
        <v>9000</v>
      </c>
      <c r="S21">
        <v>2</v>
      </c>
      <c r="T21">
        <v>18000</v>
      </c>
      <c r="U21" t="str">
        <v>vikram.rao31@outlook.com</v>
      </c>
    </row>
    <row r="22" spans="1:21" x14ac:dyDescent="0.3">
      <c r="A22" s="5">
        <v>1002</v>
      </c>
      <c r="B22" s="6">
        <v>46062</v>
      </c>
      <c r="C22" s="5" t="s">
        <v>36</v>
      </c>
      <c r="D22" s="5" t="s">
        <v>37</v>
      </c>
      <c r="E22" s="5" t="s">
        <v>41</v>
      </c>
      <c r="F22" s="5" t="s">
        <v>42</v>
      </c>
      <c r="G22" s="7">
        <v>7000</v>
      </c>
      <c r="H22" s="5">
        <v>3</v>
      </c>
      <c r="I22" s="7">
        <f t="shared" si="0"/>
        <v>21000</v>
      </c>
      <c r="J22" s="5" t="s">
        <v>43</v>
      </c>
      <c r="K22" s="18"/>
      <c r="L22">
        <v>1052</v>
      </c>
      <c r="M22">
        <v>46227</v>
      </c>
      <c r="N22" t="str">
        <v>Rohan Das</v>
      </c>
      <c r="O22" t="str">
        <v>North</v>
      </c>
      <c r="P22" t="str">
        <v>Office Chair</v>
      </c>
      <c r="Q22" t="str">
        <v>Furniture</v>
      </c>
      <c r="R22">
        <v>3500</v>
      </c>
      <c r="S22">
        <v>5</v>
      </c>
      <c r="T22">
        <v>17500</v>
      </c>
      <c r="U22" t="str">
        <v>rohan.das25@yahoo.com</v>
      </c>
    </row>
    <row r="23" spans="1:21" x14ac:dyDescent="0.3">
      <c r="A23" s="5">
        <v>1031</v>
      </c>
      <c r="B23" s="6">
        <v>46251</v>
      </c>
      <c r="C23" s="5" t="s">
        <v>63</v>
      </c>
      <c r="D23" s="5" t="s">
        <v>45</v>
      </c>
      <c r="E23" s="5" t="s">
        <v>65</v>
      </c>
      <c r="F23" s="5" t="s">
        <v>39</v>
      </c>
      <c r="G23" s="7">
        <v>9000</v>
      </c>
      <c r="H23" s="5">
        <v>2</v>
      </c>
      <c r="I23" s="7">
        <f t="shared" si="0"/>
        <v>18000</v>
      </c>
      <c r="J23" s="5" t="s">
        <v>91</v>
      </c>
      <c r="K23" s="18"/>
      <c r="L23">
        <v>1041</v>
      </c>
      <c r="M23">
        <v>46081</v>
      </c>
      <c r="N23" t="str">
        <v>Rohan Das</v>
      </c>
      <c r="O23" t="str">
        <v>North</v>
      </c>
      <c r="P23" t="str">
        <v>Keyboard</v>
      </c>
      <c r="Q23" t="str">
        <v>Electronics</v>
      </c>
      <c r="R23">
        <v>800</v>
      </c>
      <c r="S23">
        <v>19</v>
      </c>
      <c r="T23">
        <v>15200</v>
      </c>
      <c r="U23" t="str">
        <v>rohan.das74@yahoo.com</v>
      </c>
    </row>
    <row r="24" spans="1:21" x14ac:dyDescent="0.3">
      <c r="A24" s="5">
        <v>1052</v>
      </c>
      <c r="B24" s="6">
        <v>46227</v>
      </c>
      <c r="C24" s="5" t="s">
        <v>49</v>
      </c>
      <c r="D24" s="5" t="s">
        <v>45</v>
      </c>
      <c r="E24" s="5" t="s">
        <v>82</v>
      </c>
      <c r="F24" s="5" t="s">
        <v>42</v>
      </c>
      <c r="G24" s="7">
        <v>3500</v>
      </c>
      <c r="H24" s="5">
        <v>5</v>
      </c>
      <c r="I24" s="7">
        <f t="shared" si="0"/>
        <v>17500</v>
      </c>
      <c r="J24" s="5" t="s">
        <v>113</v>
      </c>
      <c r="K24" s="18"/>
      <c r="L24">
        <v>1029</v>
      </c>
      <c r="M24">
        <v>46066</v>
      </c>
      <c r="N24" t="str">
        <v>Anjali Mehta</v>
      </c>
      <c r="O24" t="str">
        <v>South</v>
      </c>
      <c r="P24" t="str">
        <v>Keyboard</v>
      </c>
      <c r="Q24" t="str">
        <v>Electronics</v>
      </c>
      <c r="R24">
        <v>800</v>
      </c>
      <c r="S24">
        <v>18</v>
      </c>
      <c r="T24">
        <v>14400</v>
      </c>
      <c r="U24" t="str">
        <v>anjali.mehta68@gmail.com</v>
      </c>
    </row>
    <row r="25" spans="1:21" x14ac:dyDescent="0.3">
      <c r="A25" s="5">
        <v>1041</v>
      </c>
      <c r="B25" s="6">
        <v>46081</v>
      </c>
      <c r="C25" s="5" t="s">
        <v>49</v>
      </c>
      <c r="D25" s="5" t="s">
        <v>45</v>
      </c>
      <c r="E25" s="5" t="s">
        <v>53</v>
      </c>
      <c r="F25" s="5" t="s">
        <v>39</v>
      </c>
      <c r="G25" s="7">
        <v>800</v>
      </c>
      <c r="H25" s="5">
        <v>19</v>
      </c>
      <c r="I25" s="7">
        <f t="shared" si="0"/>
        <v>15200</v>
      </c>
      <c r="J25" s="5" t="s">
        <v>101</v>
      </c>
      <c r="K25" s="18"/>
      <c r="L25">
        <v>1053</v>
      </c>
      <c r="M25">
        <v>46082</v>
      </c>
      <c r="N25" t="str">
        <v>Rahul Sharma</v>
      </c>
      <c r="O25" t="str">
        <v>North</v>
      </c>
      <c r="P25" t="str">
        <v>Office Desk</v>
      </c>
      <c r="Q25" t="str">
        <v>Furniture</v>
      </c>
      <c r="R25">
        <v>7000</v>
      </c>
      <c r="S25">
        <v>2</v>
      </c>
      <c r="T25">
        <v>14000</v>
      </c>
      <c r="U25" t="str">
        <v>rahul.sharma96@yahoo.com</v>
      </c>
    </row>
    <row r="26" spans="1:21" x14ac:dyDescent="0.3">
      <c r="A26" s="5">
        <v>1029</v>
      </c>
      <c r="B26" s="6">
        <v>46066</v>
      </c>
      <c r="C26" s="5" t="s">
        <v>59</v>
      </c>
      <c r="D26" s="5" t="s">
        <v>37</v>
      </c>
      <c r="E26" s="5" t="s">
        <v>53</v>
      </c>
      <c r="F26" s="5" t="s">
        <v>39</v>
      </c>
      <c r="G26" s="7">
        <v>800</v>
      </c>
      <c r="H26" s="5">
        <v>18</v>
      </c>
      <c r="I26" s="7">
        <f t="shared" si="0"/>
        <v>14400</v>
      </c>
      <c r="J26" s="5" t="s">
        <v>89</v>
      </c>
      <c r="K26" s="18"/>
      <c r="L26">
        <v>1033</v>
      </c>
      <c r="M26">
        <v>46223</v>
      </c>
      <c r="N26" t="str">
        <v>Amit Verma</v>
      </c>
      <c r="O26" t="str">
        <v>East</v>
      </c>
      <c r="P26" t="str">
        <v>Keyboard</v>
      </c>
      <c r="Q26" t="str">
        <v>Electronics</v>
      </c>
      <c r="R26">
        <v>800</v>
      </c>
      <c r="S26">
        <v>16</v>
      </c>
      <c r="T26">
        <v>12800</v>
      </c>
      <c r="U26" t="str">
        <v>amit.verma71@gmail.com</v>
      </c>
    </row>
    <row r="27" spans="1:21" x14ac:dyDescent="0.3">
      <c r="A27" s="5">
        <v>1053</v>
      </c>
      <c r="B27" s="6">
        <v>46082</v>
      </c>
      <c r="C27" s="5" t="s">
        <v>44</v>
      </c>
      <c r="D27" s="5" t="s">
        <v>45</v>
      </c>
      <c r="E27" s="5" t="s">
        <v>41</v>
      </c>
      <c r="F27" s="5" t="s">
        <v>42</v>
      </c>
      <c r="G27" s="7">
        <v>7000</v>
      </c>
      <c r="H27" s="5">
        <v>2</v>
      </c>
      <c r="I27" s="7">
        <f t="shared" si="0"/>
        <v>14000</v>
      </c>
      <c r="J27" s="5" t="s">
        <v>114</v>
      </c>
      <c r="K27" s="18"/>
      <c r="L27">
        <v>1015</v>
      </c>
      <c r="M27">
        <v>46163</v>
      </c>
      <c r="N27" t="str">
        <v>Neha Gupta</v>
      </c>
      <c r="O27" t="str">
        <v>West</v>
      </c>
      <c r="P27" t="str">
        <v>Keyboard</v>
      </c>
      <c r="Q27" t="str">
        <v>Electronics</v>
      </c>
      <c r="R27">
        <v>800</v>
      </c>
      <c r="S27">
        <v>15</v>
      </c>
      <c r="T27">
        <v>12000</v>
      </c>
      <c r="U27" t="str">
        <v>neha.gupta49@yahoo.com</v>
      </c>
    </row>
    <row r="28" spans="1:21" x14ac:dyDescent="0.3">
      <c r="A28" s="5">
        <v>1033</v>
      </c>
      <c r="B28" s="6">
        <v>46223</v>
      </c>
      <c r="C28" s="5" t="s">
        <v>79</v>
      </c>
      <c r="D28" s="5" t="s">
        <v>80</v>
      </c>
      <c r="E28" s="5" t="s">
        <v>53</v>
      </c>
      <c r="F28" s="5" t="s">
        <v>39</v>
      </c>
      <c r="G28" s="7">
        <v>800</v>
      </c>
      <c r="H28" s="5">
        <v>16</v>
      </c>
      <c r="I28" s="7">
        <f t="shared" si="0"/>
        <v>12800</v>
      </c>
      <c r="J28" s="5" t="s">
        <v>93</v>
      </c>
      <c r="K28" s="18"/>
      <c r="L28">
        <v>1006</v>
      </c>
      <c r="M28">
        <v>46098</v>
      </c>
      <c r="N28" t="str">
        <v>Rahul Sharma</v>
      </c>
      <c r="O28" t="str">
        <v>North</v>
      </c>
      <c r="P28" t="str">
        <v>Keyboard</v>
      </c>
      <c r="Q28" t="str">
        <v>Electronics</v>
      </c>
      <c r="R28">
        <v>800</v>
      </c>
      <c r="S28">
        <v>14</v>
      </c>
      <c r="T28">
        <v>11200</v>
      </c>
      <c r="U28" t="str">
        <v>rahul.sharma44@yahoo.com</v>
      </c>
    </row>
    <row r="29" spans="1:21" x14ac:dyDescent="0.3">
      <c r="A29" s="5">
        <v>1015</v>
      </c>
      <c r="B29" s="6">
        <v>46163</v>
      </c>
      <c r="C29" s="5" t="s">
        <v>55</v>
      </c>
      <c r="D29" s="5" t="s">
        <v>56</v>
      </c>
      <c r="E29" s="5" t="s">
        <v>53</v>
      </c>
      <c r="F29" s="5" t="s">
        <v>39</v>
      </c>
      <c r="G29" s="7">
        <v>800</v>
      </c>
      <c r="H29" s="5">
        <v>15</v>
      </c>
      <c r="I29" s="7">
        <f t="shared" si="0"/>
        <v>12000</v>
      </c>
      <c r="J29" s="5" t="s">
        <v>70</v>
      </c>
      <c r="K29" s="18"/>
      <c r="L29">
        <v>1032</v>
      </c>
      <c r="M29">
        <v>46047</v>
      </c>
      <c r="N29" t="str">
        <v>Priya Singh</v>
      </c>
      <c r="O29" t="str">
        <v>South</v>
      </c>
      <c r="P29" t="str">
        <v>Office Chair</v>
      </c>
      <c r="Q29" t="str">
        <v>Furniture</v>
      </c>
      <c r="R29">
        <v>3500</v>
      </c>
      <c r="S29">
        <v>3</v>
      </c>
      <c r="T29">
        <v>10500</v>
      </c>
      <c r="U29" t="str">
        <v>priya.singh98@outlook.com</v>
      </c>
    </row>
    <row r="30" spans="1:21" x14ac:dyDescent="0.3">
      <c r="A30" s="5">
        <v>1006</v>
      </c>
      <c r="B30" s="6">
        <v>46098</v>
      </c>
      <c r="C30" s="5" t="s">
        <v>44</v>
      </c>
      <c r="D30" s="5" t="s">
        <v>45</v>
      </c>
      <c r="E30" s="5" t="s">
        <v>53</v>
      </c>
      <c r="F30" s="5" t="s">
        <v>39</v>
      </c>
      <c r="G30" s="7">
        <v>800</v>
      </c>
      <c r="H30" s="5">
        <v>14</v>
      </c>
      <c r="I30" s="7">
        <f t="shared" si="0"/>
        <v>11200</v>
      </c>
      <c r="J30" s="5" t="s">
        <v>54</v>
      </c>
      <c r="K30" s="18"/>
      <c r="L30">
        <v>1014</v>
      </c>
      <c r="M30">
        <v>46198</v>
      </c>
      <c r="N30" t="str">
        <v>Vikram Rao</v>
      </c>
      <c r="O30" t="str">
        <v>North</v>
      </c>
      <c r="P30" t="str">
        <v>Wireless Mouse</v>
      </c>
      <c r="Q30" t="str">
        <v>Electronics</v>
      </c>
      <c r="R30">
        <v>500</v>
      </c>
      <c r="S30">
        <v>20</v>
      </c>
      <c r="T30">
        <v>10000</v>
      </c>
      <c r="U30" t="str">
        <v>vikram.rao82@gmail.com</v>
      </c>
    </row>
    <row r="31" spans="1:21" x14ac:dyDescent="0.3">
      <c r="A31" s="5">
        <v>1032</v>
      </c>
      <c r="B31" s="6">
        <v>46047</v>
      </c>
      <c r="C31" s="5" t="s">
        <v>36</v>
      </c>
      <c r="D31" s="5" t="s">
        <v>37</v>
      </c>
      <c r="E31" s="5" t="s">
        <v>82</v>
      </c>
      <c r="F31" s="5" t="s">
        <v>42</v>
      </c>
      <c r="G31" s="7">
        <v>3500</v>
      </c>
      <c r="H31" s="5">
        <v>3</v>
      </c>
      <c r="I31" s="7">
        <f t="shared" si="0"/>
        <v>10500</v>
      </c>
      <c r="J31" s="5" t="s">
        <v>92</v>
      </c>
      <c r="K31" s="18"/>
      <c r="L31">
        <v>1013</v>
      </c>
      <c r="M31">
        <v>46240</v>
      </c>
      <c r="N31" t="str">
        <v>Anjali Mehta</v>
      </c>
      <c r="O31" t="str">
        <v>South</v>
      </c>
      <c r="P31" t="str">
        <v>Keyboard</v>
      </c>
      <c r="Q31" t="str">
        <v>Electronics</v>
      </c>
      <c r="R31">
        <v>800</v>
      </c>
      <c r="S31">
        <v>12</v>
      </c>
      <c r="T31">
        <v>9600</v>
      </c>
      <c r="U31" t="str">
        <v>anjali.mehta46@gmail.com</v>
      </c>
    </row>
    <row r="32" spans="1:21" x14ac:dyDescent="0.3">
      <c r="A32" s="5">
        <v>1014</v>
      </c>
      <c r="B32" s="6">
        <v>46198</v>
      </c>
      <c r="C32" s="5" t="s">
        <v>63</v>
      </c>
      <c r="D32" s="5" t="s">
        <v>45</v>
      </c>
      <c r="E32" s="5" t="s">
        <v>46</v>
      </c>
      <c r="F32" s="5" t="s">
        <v>39</v>
      </c>
      <c r="G32" s="7">
        <v>500</v>
      </c>
      <c r="H32" s="5">
        <v>20</v>
      </c>
      <c r="I32" s="7">
        <f t="shared" si="0"/>
        <v>10000</v>
      </c>
      <c r="J32" s="5" t="s">
        <v>69</v>
      </c>
      <c r="K32" s="18"/>
      <c r="L32">
        <v>1025</v>
      </c>
      <c r="M32">
        <v>46247</v>
      </c>
      <c r="N32" t="str">
        <v>Rahul Sharma</v>
      </c>
      <c r="O32" t="str">
        <v>North</v>
      </c>
      <c r="P32" t="str">
        <v>Wireless Mouse</v>
      </c>
      <c r="Q32" t="str">
        <v>Electronics</v>
      </c>
      <c r="R32">
        <v>500</v>
      </c>
      <c r="S32">
        <v>18</v>
      </c>
      <c r="T32">
        <v>9000</v>
      </c>
      <c r="U32" t="str">
        <v>rahul.sharma97@yahoo.com</v>
      </c>
    </row>
    <row r="33" spans="1:21" x14ac:dyDescent="0.3">
      <c r="A33" s="5">
        <v>1013</v>
      </c>
      <c r="B33" s="6">
        <v>46240</v>
      </c>
      <c r="C33" s="5" t="s">
        <v>59</v>
      </c>
      <c r="D33" s="5" t="s">
        <v>37</v>
      </c>
      <c r="E33" s="5" t="s">
        <v>53</v>
      </c>
      <c r="F33" s="5" t="s">
        <v>39</v>
      </c>
      <c r="G33" s="7">
        <v>800</v>
      </c>
      <c r="H33" s="5">
        <v>12</v>
      </c>
      <c r="I33" s="7">
        <f t="shared" ref="I33:I64" si="1">G33*H33</f>
        <v>9600</v>
      </c>
      <c r="J33" s="5" t="s">
        <v>68</v>
      </c>
      <c r="K33" s="18"/>
      <c r="L33">
        <v>1038</v>
      </c>
      <c r="M33">
        <v>46085</v>
      </c>
      <c r="N33" t="str">
        <v>Simran Kaur</v>
      </c>
      <c r="O33" t="str">
        <v>South</v>
      </c>
      <c r="P33" t="str">
        <v>Monitor</v>
      </c>
      <c r="Q33" t="str">
        <v>Electronics</v>
      </c>
      <c r="R33">
        <v>9000</v>
      </c>
      <c r="S33">
        <v>1</v>
      </c>
      <c r="T33">
        <v>9000</v>
      </c>
      <c r="U33" t="str">
        <v>simran.kaur10@outlook.com</v>
      </c>
    </row>
    <row r="34" spans="1:21" x14ac:dyDescent="0.3">
      <c r="A34" s="5">
        <v>1025</v>
      </c>
      <c r="B34" s="6">
        <v>46247</v>
      </c>
      <c r="C34" s="5" t="s">
        <v>44</v>
      </c>
      <c r="D34" s="5" t="s">
        <v>45</v>
      </c>
      <c r="E34" s="5" t="s">
        <v>46</v>
      </c>
      <c r="F34" s="5" t="s">
        <v>39</v>
      </c>
      <c r="G34" s="7">
        <v>500</v>
      </c>
      <c r="H34" s="5">
        <v>18</v>
      </c>
      <c r="I34" s="7">
        <f t="shared" si="1"/>
        <v>9000</v>
      </c>
      <c r="J34" s="5" t="s">
        <v>84</v>
      </c>
      <c r="K34" s="18"/>
      <c r="L34">
        <v>1019</v>
      </c>
      <c r="M34">
        <v>46128</v>
      </c>
      <c r="N34" t="str">
        <v>Kavita Nair</v>
      </c>
      <c r="O34" t="str">
        <v>West</v>
      </c>
      <c r="P34" t="str">
        <v>Keyboard</v>
      </c>
      <c r="Q34" t="str">
        <v>Electronics</v>
      </c>
      <c r="R34">
        <v>800</v>
      </c>
      <c r="S34">
        <v>9</v>
      </c>
      <c r="T34">
        <v>7200</v>
      </c>
      <c r="U34" t="str">
        <v>kavita.nair18@gmail.com</v>
      </c>
    </row>
    <row r="35" spans="1:21" x14ac:dyDescent="0.3">
      <c r="A35" s="5">
        <v>1038</v>
      </c>
      <c r="B35" s="6">
        <v>46085</v>
      </c>
      <c r="C35" s="5" t="s">
        <v>73</v>
      </c>
      <c r="D35" s="5" t="s">
        <v>37</v>
      </c>
      <c r="E35" s="5" t="s">
        <v>65</v>
      </c>
      <c r="F35" s="5" t="s">
        <v>39</v>
      </c>
      <c r="G35" s="7">
        <v>9000</v>
      </c>
      <c r="H35" s="5">
        <v>1</v>
      </c>
      <c r="I35" s="7">
        <f t="shared" si="1"/>
        <v>9000</v>
      </c>
      <c r="J35" s="5" t="s">
        <v>98</v>
      </c>
      <c r="K35" s="18"/>
      <c r="L35">
        <v>1026</v>
      </c>
      <c r="M35">
        <v>46223</v>
      </c>
      <c r="N35" t="str">
        <v>Anjali Mehta</v>
      </c>
      <c r="O35" t="str">
        <v>South</v>
      </c>
      <c r="P35" t="str">
        <v>Wireless Mouse</v>
      </c>
      <c r="Q35" t="str">
        <v>Electronics</v>
      </c>
      <c r="R35">
        <v>500</v>
      </c>
      <c r="S35">
        <v>10</v>
      </c>
      <c r="T35">
        <v>5000</v>
      </c>
      <c r="U35" t="str">
        <v>anjali.mehta56@gmail.com</v>
      </c>
    </row>
    <row r="36" spans="1:21" x14ac:dyDescent="0.3">
      <c r="A36" s="5">
        <v>1019</v>
      </c>
      <c r="B36" s="6">
        <v>46128</v>
      </c>
      <c r="C36" s="5" t="s">
        <v>61</v>
      </c>
      <c r="D36" s="5" t="s">
        <v>56</v>
      </c>
      <c r="E36" s="5" t="s">
        <v>53</v>
      </c>
      <c r="F36" s="5" t="s">
        <v>39</v>
      </c>
      <c r="G36" s="7">
        <v>800</v>
      </c>
      <c r="H36" s="5">
        <v>9</v>
      </c>
      <c r="I36" s="7">
        <f t="shared" si="1"/>
        <v>7200</v>
      </c>
      <c r="J36" s="5" t="s">
        <v>75</v>
      </c>
      <c r="K36" s="18"/>
      <c r="L36">
        <v>1003</v>
      </c>
      <c r="M36">
        <v>46035</v>
      </c>
      <c r="N36" t="str">
        <v>Rahul Sharma</v>
      </c>
      <c r="O36" t="str">
        <v>North</v>
      </c>
      <c r="P36" t="str">
        <v>Wireless Mouse</v>
      </c>
      <c r="Q36" t="str">
        <v>Electronics</v>
      </c>
      <c r="R36">
        <v>500</v>
      </c>
      <c r="S36">
        <v>7</v>
      </c>
      <c r="T36">
        <v>3500</v>
      </c>
      <c r="U36" t="str">
        <v>rahul.sharma30@outlook.com</v>
      </c>
    </row>
    <row r="37" spans="1:21" x14ac:dyDescent="0.3">
      <c r="A37" s="5">
        <v>1026</v>
      </c>
      <c r="B37" s="6">
        <v>46223</v>
      </c>
      <c r="C37" s="5" t="s">
        <v>59</v>
      </c>
      <c r="D37" s="5" t="s">
        <v>37</v>
      </c>
      <c r="E37" s="5" t="s">
        <v>46</v>
      </c>
      <c r="F37" s="5" t="s">
        <v>39</v>
      </c>
      <c r="G37" s="7">
        <v>500</v>
      </c>
      <c r="H37" s="5">
        <v>10</v>
      </c>
      <c r="I37" s="7">
        <f t="shared" si="1"/>
        <v>5000</v>
      </c>
      <c r="J37" s="5" t="s">
        <v>85</v>
      </c>
      <c r="K37" s="18"/>
      <c r="L37">
        <v>1030</v>
      </c>
      <c r="M37">
        <v>46180</v>
      </c>
      <c r="N37" t="str">
        <v>Anjali Mehta</v>
      </c>
      <c r="O37" t="str">
        <v>South</v>
      </c>
      <c r="P37" t="str">
        <v>Office Chair</v>
      </c>
      <c r="Q37" t="str">
        <v>Furniture</v>
      </c>
      <c r="R37">
        <v>3500</v>
      </c>
      <c r="S37">
        <v>1</v>
      </c>
      <c r="T37">
        <v>3500</v>
      </c>
      <c r="U37" t="str">
        <v>anjali.mehta15@yahoo.com</v>
      </c>
    </row>
    <row r="38" spans="1:21" x14ac:dyDescent="0.3">
      <c r="A38" s="5">
        <v>1003</v>
      </c>
      <c r="B38" s="6">
        <v>46035</v>
      </c>
      <c r="C38" s="5" t="s">
        <v>44</v>
      </c>
      <c r="D38" s="5" t="s">
        <v>45</v>
      </c>
      <c r="E38" s="5" t="s">
        <v>46</v>
      </c>
      <c r="F38" s="5" t="s">
        <v>39</v>
      </c>
      <c r="G38" s="7">
        <v>500</v>
      </c>
      <c r="H38" s="5">
        <v>7</v>
      </c>
      <c r="I38" s="7">
        <f t="shared" si="1"/>
        <v>3500</v>
      </c>
      <c r="J38" s="5" t="s">
        <v>47</v>
      </c>
      <c r="K38" s="18"/>
      <c r="L38">
        <v>1023</v>
      </c>
      <c r="M38">
        <v>46187</v>
      </c>
      <c r="N38" t="str">
        <v>Amit Verma</v>
      </c>
      <c r="O38" t="str">
        <v>East</v>
      </c>
      <c r="P38" t="str">
        <v>Stapler</v>
      </c>
      <c r="Q38" t="str">
        <v>Stationery</v>
      </c>
      <c r="R38">
        <v>150</v>
      </c>
      <c r="S38">
        <v>20</v>
      </c>
      <c r="T38">
        <v>3000</v>
      </c>
      <c r="U38" t="str">
        <v>amit.verma9@yahoo.com</v>
      </c>
    </row>
    <row r="39" spans="1:21" x14ac:dyDescent="0.3">
      <c r="A39" s="5">
        <v>1030</v>
      </c>
      <c r="B39" s="6">
        <v>46180</v>
      </c>
      <c r="C39" s="5" t="s">
        <v>59</v>
      </c>
      <c r="D39" s="5" t="s">
        <v>37</v>
      </c>
      <c r="E39" s="5" t="s">
        <v>82</v>
      </c>
      <c r="F39" s="5" t="s">
        <v>42</v>
      </c>
      <c r="G39" s="7">
        <v>3500</v>
      </c>
      <c r="H39" s="5">
        <v>1</v>
      </c>
      <c r="I39" s="7">
        <f t="shared" si="1"/>
        <v>3500</v>
      </c>
      <c r="J39" s="5" t="s">
        <v>90</v>
      </c>
      <c r="K39" s="18"/>
      <c r="L39">
        <v>1055</v>
      </c>
      <c r="M39">
        <v>46041</v>
      </c>
      <c r="N39" t="str">
        <v>Rohan Das</v>
      </c>
      <c r="O39" t="str">
        <v>North</v>
      </c>
      <c r="P39" t="str">
        <v>Wireless Mouse</v>
      </c>
      <c r="Q39" t="str">
        <v>Electronics</v>
      </c>
      <c r="R39">
        <v>500</v>
      </c>
      <c r="S39">
        <v>6</v>
      </c>
      <c r="T39">
        <v>3000</v>
      </c>
      <c r="U39" t="str">
        <v>rohan.das9@outlook.com</v>
      </c>
    </row>
    <row r="40" spans="1:21" x14ac:dyDescent="0.3">
      <c r="A40" s="5">
        <v>1023</v>
      </c>
      <c r="B40" s="6">
        <v>46187</v>
      </c>
      <c r="C40" s="5" t="s">
        <v>79</v>
      </c>
      <c r="D40" s="5" t="s">
        <v>80</v>
      </c>
      <c r="E40" s="5" t="s">
        <v>50</v>
      </c>
      <c r="F40" s="5" t="s">
        <v>51</v>
      </c>
      <c r="G40" s="7">
        <v>150</v>
      </c>
      <c r="H40" s="5">
        <v>20</v>
      </c>
      <c r="I40" s="7">
        <f t="shared" si="1"/>
        <v>3000</v>
      </c>
      <c r="J40" s="5" t="s">
        <v>81</v>
      </c>
      <c r="K40" s="18"/>
      <c r="L40">
        <v>1008</v>
      </c>
      <c r="M40">
        <v>46051</v>
      </c>
      <c r="N40" t="str">
        <v>Anjali Mehta</v>
      </c>
      <c r="O40" t="str">
        <v>South</v>
      </c>
      <c r="P40" t="str">
        <v>Pen Set</v>
      </c>
      <c r="Q40" t="str">
        <v>Stationery</v>
      </c>
      <c r="R40">
        <v>120</v>
      </c>
      <c r="S40">
        <v>20</v>
      </c>
      <c r="T40">
        <v>2400</v>
      </c>
      <c r="U40" t="str">
        <v>anjali.mehta34@gmail.com</v>
      </c>
    </row>
    <row r="41" spans="1:21" x14ac:dyDescent="0.3">
      <c r="A41" s="5">
        <v>1055</v>
      </c>
      <c r="B41" s="6">
        <v>46041</v>
      </c>
      <c r="C41" s="5" t="s">
        <v>49</v>
      </c>
      <c r="D41" s="5" t="s">
        <v>45</v>
      </c>
      <c r="E41" s="5" t="s">
        <v>46</v>
      </c>
      <c r="F41" s="5" t="s">
        <v>39</v>
      </c>
      <c r="G41" s="7">
        <v>500</v>
      </c>
      <c r="H41" s="5">
        <v>6</v>
      </c>
      <c r="I41" s="7">
        <f t="shared" si="1"/>
        <v>3000</v>
      </c>
      <c r="J41" s="5" t="s">
        <v>116</v>
      </c>
      <c r="K41" s="18"/>
      <c r="L41">
        <v>1010</v>
      </c>
      <c r="M41">
        <v>46168</v>
      </c>
      <c r="N41" t="str">
        <v>Vikram Rao</v>
      </c>
      <c r="O41" t="str">
        <v>North</v>
      </c>
      <c r="P41" t="str">
        <v>Pen Set</v>
      </c>
      <c r="Q41" t="str">
        <v>Stationery</v>
      </c>
      <c r="R41">
        <v>120</v>
      </c>
      <c r="S41">
        <v>19</v>
      </c>
      <c r="T41">
        <v>2280</v>
      </c>
      <c r="U41" t="str">
        <v>vikram.rao25@outlook.com</v>
      </c>
    </row>
    <row r="42" spans="1:21" x14ac:dyDescent="0.3">
      <c r="A42" s="5">
        <v>1008</v>
      </c>
      <c r="B42" s="6">
        <v>46051</v>
      </c>
      <c r="C42" s="5" t="s">
        <v>59</v>
      </c>
      <c r="D42" s="5" t="s">
        <v>37</v>
      </c>
      <c r="E42" s="5" t="s">
        <v>57</v>
      </c>
      <c r="F42" s="5" t="s">
        <v>51</v>
      </c>
      <c r="G42" s="7">
        <v>120</v>
      </c>
      <c r="H42" s="5">
        <v>20</v>
      </c>
      <c r="I42" s="7">
        <f t="shared" si="1"/>
        <v>2400</v>
      </c>
      <c r="J42" s="5" t="s">
        <v>60</v>
      </c>
      <c r="K42" s="18"/>
      <c r="L42">
        <v>1021</v>
      </c>
      <c r="M42">
        <v>46136</v>
      </c>
      <c r="N42" t="str">
        <v>Simran Kaur</v>
      </c>
      <c r="O42" t="str">
        <v>South</v>
      </c>
      <c r="P42" t="str">
        <v>Stapler</v>
      </c>
      <c r="Q42" t="str">
        <v>Stationery</v>
      </c>
      <c r="R42">
        <v>150</v>
      </c>
      <c r="S42">
        <v>12</v>
      </c>
      <c r="T42">
        <v>1800</v>
      </c>
      <c r="U42" t="str">
        <v>simran.kaur29@gmail.com</v>
      </c>
    </row>
    <row r="43" spans="1:21" x14ac:dyDescent="0.3">
      <c r="A43" s="5">
        <v>1010</v>
      </c>
      <c r="B43" s="6">
        <v>46168</v>
      </c>
      <c r="C43" s="5" t="s">
        <v>63</v>
      </c>
      <c r="D43" s="5" t="s">
        <v>45</v>
      </c>
      <c r="E43" s="5" t="s">
        <v>57</v>
      </c>
      <c r="F43" s="5" t="s">
        <v>51</v>
      </c>
      <c r="G43" s="7">
        <v>120</v>
      </c>
      <c r="H43" s="5">
        <v>19</v>
      </c>
      <c r="I43" s="7">
        <f t="shared" si="1"/>
        <v>2280</v>
      </c>
      <c r="J43" s="5" t="s">
        <v>64</v>
      </c>
      <c r="K43" s="18"/>
      <c r="L43">
        <v>1043</v>
      </c>
      <c r="M43">
        <v>46195</v>
      </c>
      <c r="N43" t="str">
        <v>Suresh Kumar</v>
      </c>
      <c r="O43" t="str">
        <v>East</v>
      </c>
      <c r="P43" t="str">
        <v>Pen Set</v>
      </c>
      <c r="Q43" t="str">
        <v>Stationery</v>
      </c>
      <c r="R43">
        <v>120</v>
      </c>
      <c r="S43">
        <v>14</v>
      </c>
      <c r="T43">
        <v>1680</v>
      </c>
      <c r="U43" t="str">
        <v>suresh.kumar53@yahoo.com</v>
      </c>
    </row>
    <row r="44" spans="1:21" x14ac:dyDescent="0.3">
      <c r="A44" s="5">
        <v>1021</v>
      </c>
      <c r="B44" s="6">
        <v>46136</v>
      </c>
      <c r="C44" s="5" t="s">
        <v>73</v>
      </c>
      <c r="D44" s="5" t="s">
        <v>37</v>
      </c>
      <c r="E44" s="5" t="s">
        <v>50</v>
      </c>
      <c r="F44" s="5" t="s">
        <v>51</v>
      </c>
      <c r="G44" s="7">
        <v>150</v>
      </c>
      <c r="H44" s="5">
        <v>12</v>
      </c>
      <c r="I44" s="7">
        <f t="shared" si="1"/>
        <v>1800</v>
      </c>
      <c r="J44" s="5" t="s">
        <v>77</v>
      </c>
      <c r="K44" s="18"/>
      <c r="L44">
        <v>1017</v>
      </c>
      <c r="M44">
        <v>46085</v>
      </c>
      <c r="N44" t="str">
        <v>Rahul Sharma</v>
      </c>
      <c r="O44" t="str">
        <v>North</v>
      </c>
      <c r="P44" t="str">
        <v>Pen Set</v>
      </c>
      <c r="Q44" t="str">
        <v>Stationery</v>
      </c>
      <c r="R44">
        <v>120</v>
      </c>
      <c r="S44">
        <v>13</v>
      </c>
      <c r="T44">
        <v>1560</v>
      </c>
      <c r="U44" t="str">
        <v>rahul.sharma35@gmail.com</v>
      </c>
    </row>
    <row r="45" spans="1:21" x14ac:dyDescent="0.3">
      <c r="A45" s="5">
        <v>1043</v>
      </c>
      <c r="B45" s="6">
        <v>46195</v>
      </c>
      <c r="C45" s="5" t="s">
        <v>103</v>
      </c>
      <c r="D45" s="5" t="s">
        <v>80</v>
      </c>
      <c r="E45" s="5" t="s">
        <v>57</v>
      </c>
      <c r="F45" s="5" t="s">
        <v>51</v>
      </c>
      <c r="G45" s="7">
        <v>120</v>
      </c>
      <c r="H45" s="5">
        <v>14</v>
      </c>
      <c r="I45" s="7">
        <f t="shared" si="1"/>
        <v>1680</v>
      </c>
      <c r="J45" s="5" t="s">
        <v>104</v>
      </c>
      <c r="K45" s="18"/>
      <c r="L45">
        <v>1012</v>
      </c>
      <c r="M45">
        <v>46248</v>
      </c>
      <c r="N45" t="str">
        <v>Priya Singh</v>
      </c>
      <c r="O45" t="str">
        <v>South</v>
      </c>
      <c r="P45" t="str">
        <v>Stapler</v>
      </c>
      <c r="Q45" t="str">
        <v>Stationery</v>
      </c>
      <c r="R45">
        <v>150</v>
      </c>
      <c r="S45">
        <v>9</v>
      </c>
      <c r="T45">
        <v>1350</v>
      </c>
      <c r="U45" t="str">
        <v>priya.singh59@outlook.com</v>
      </c>
    </row>
    <row r="46" spans="1:21" x14ac:dyDescent="0.3">
      <c r="A46" s="5">
        <v>1017</v>
      </c>
      <c r="B46" s="6">
        <v>46085</v>
      </c>
      <c r="C46" s="5" t="s">
        <v>44</v>
      </c>
      <c r="D46" s="5" t="s">
        <v>45</v>
      </c>
      <c r="E46" s="5" t="s">
        <v>57</v>
      </c>
      <c r="F46" s="5" t="s">
        <v>51</v>
      </c>
      <c r="G46" s="7">
        <v>120</v>
      </c>
      <c r="H46" s="5">
        <v>13</v>
      </c>
      <c r="I46" s="7">
        <f t="shared" si="1"/>
        <v>1560</v>
      </c>
      <c r="J46" s="5" t="s">
        <v>72</v>
      </c>
      <c r="K46" s="18"/>
      <c r="L46">
        <v>1005</v>
      </c>
      <c r="M46">
        <v>46206</v>
      </c>
      <c r="N46" t="str">
        <v>Rohan Das</v>
      </c>
      <c r="O46" t="str">
        <v>North</v>
      </c>
      <c r="P46" t="str">
        <v>Stapler</v>
      </c>
      <c r="Q46" t="str">
        <v>Stationery</v>
      </c>
      <c r="R46">
        <v>150</v>
      </c>
      <c r="S46">
        <v>8</v>
      </c>
      <c r="T46">
        <v>1200</v>
      </c>
      <c r="U46" t="str">
        <v>rohan.das58@outlook.com</v>
      </c>
    </row>
    <row r="47" spans="1:21" x14ac:dyDescent="0.3">
      <c r="A47" s="5">
        <v>1012</v>
      </c>
      <c r="B47" s="6">
        <v>46248</v>
      </c>
      <c r="C47" s="5" t="s">
        <v>36</v>
      </c>
      <c r="D47" s="5" t="s">
        <v>37</v>
      </c>
      <c r="E47" s="5" t="s">
        <v>50</v>
      </c>
      <c r="F47" s="5" t="s">
        <v>51</v>
      </c>
      <c r="G47" s="7">
        <v>150</v>
      </c>
      <c r="H47" s="5">
        <v>9</v>
      </c>
      <c r="I47" s="7">
        <f t="shared" si="1"/>
        <v>1350</v>
      </c>
      <c r="J47" s="5" t="s">
        <v>67</v>
      </c>
      <c r="K47" s="18"/>
      <c r="L47">
        <v>1034</v>
      </c>
      <c r="M47">
        <v>46094</v>
      </c>
      <c r="N47" t="str">
        <v>Rohan Das</v>
      </c>
      <c r="O47" t="str">
        <v>North</v>
      </c>
      <c r="P47" t="str">
        <v>Stapler</v>
      </c>
      <c r="Q47" t="str">
        <v>Stationery</v>
      </c>
      <c r="R47">
        <v>150</v>
      </c>
      <c r="S47">
        <v>7</v>
      </c>
      <c r="T47">
        <v>1050</v>
      </c>
      <c r="U47" t="str">
        <v>rohan.das70@outlook.com</v>
      </c>
    </row>
    <row r="48" spans="1:21" x14ac:dyDescent="0.3">
      <c r="A48" s="5">
        <v>1005</v>
      </c>
      <c r="B48" s="6">
        <v>46206</v>
      </c>
      <c r="C48" s="5" t="s">
        <v>49</v>
      </c>
      <c r="D48" s="5" t="s">
        <v>45</v>
      </c>
      <c r="E48" s="5" t="s">
        <v>50</v>
      </c>
      <c r="F48" s="5" t="s">
        <v>51</v>
      </c>
      <c r="G48" s="7">
        <v>150</v>
      </c>
      <c r="H48" s="5">
        <v>8</v>
      </c>
      <c r="I48" s="7">
        <f t="shared" si="1"/>
        <v>1200</v>
      </c>
      <c r="J48" s="5" t="s">
        <v>52</v>
      </c>
      <c r="K48" s="18"/>
      <c r="L48">
        <v>1042</v>
      </c>
      <c r="M48">
        <v>46089</v>
      </c>
      <c r="N48" t="str">
        <v>Kavita Nair</v>
      </c>
      <c r="O48" t="str">
        <v>West</v>
      </c>
      <c r="P48" t="str">
        <v>Stapler</v>
      </c>
      <c r="Q48" t="str">
        <v>Stationery</v>
      </c>
      <c r="R48">
        <v>150</v>
      </c>
      <c r="S48">
        <v>7</v>
      </c>
      <c r="T48">
        <v>1050</v>
      </c>
      <c r="U48" t="str">
        <v>kavita.nair13@gmail.com</v>
      </c>
    </row>
    <row r="49" spans="1:21" x14ac:dyDescent="0.3">
      <c r="A49" s="5">
        <v>1034</v>
      </c>
      <c r="B49" s="6">
        <v>46094</v>
      </c>
      <c r="C49" s="5" t="s">
        <v>49</v>
      </c>
      <c r="D49" s="5" t="s">
        <v>45</v>
      </c>
      <c r="E49" s="5" t="s">
        <v>50</v>
      </c>
      <c r="F49" s="5" t="s">
        <v>51</v>
      </c>
      <c r="G49" s="7">
        <v>150</v>
      </c>
      <c r="H49" s="5">
        <v>7</v>
      </c>
      <c r="I49" s="7">
        <f t="shared" si="1"/>
        <v>1050</v>
      </c>
      <c r="J49" s="5" t="s">
        <v>94</v>
      </c>
      <c r="K49" s="18"/>
      <c r="L49">
        <v>1022</v>
      </c>
      <c r="M49">
        <v>46157</v>
      </c>
      <c r="N49" t="str">
        <v>Kavita Nair</v>
      </c>
      <c r="O49" t="str">
        <v>West</v>
      </c>
      <c r="P49" t="str">
        <v>Wireless Mouse</v>
      </c>
      <c r="Q49" t="str">
        <v>Electronics</v>
      </c>
      <c r="R49">
        <v>500</v>
      </c>
      <c r="S49">
        <v>2</v>
      </c>
      <c r="T49">
        <v>1000</v>
      </c>
      <c r="U49" t="str">
        <v>kavita.nair15@gmail.com</v>
      </c>
    </row>
    <row r="50" spans="1:21" x14ac:dyDescent="0.3">
      <c r="A50" s="5">
        <v>1042</v>
      </c>
      <c r="B50" s="6">
        <v>46089</v>
      </c>
      <c r="C50" s="5" t="s">
        <v>61</v>
      </c>
      <c r="D50" s="5" t="s">
        <v>56</v>
      </c>
      <c r="E50" s="5" t="s">
        <v>50</v>
      </c>
      <c r="F50" s="5" t="s">
        <v>51</v>
      </c>
      <c r="G50" s="7">
        <v>150</v>
      </c>
      <c r="H50" s="5">
        <v>7</v>
      </c>
      <c r="I50" s="7">
        <f t="shared" si="1"/>
        <v>1050</v>
      </c>
      <c r="J50" s="5" t="s">
        <v>102</v>
      </c>
      <c r="K50" s="18"/>
      <c r="L50">
        <v>1044</v>
      </c>
      <c r="M50">
        <v>46248</v>
      </c>
      <c r="N50" t="str">
        <v>Rahul Sharma</v>
      </c>
      <c r="O50" t="str">
        <v>North</v>
      </c>
      <c r="P50" t="str">
        <v>Wireless Mouse</v>
      </c>
      <c r="Q50" t="str">
        <v>Electronics</v>
      </c>
      <c r="R50">
        <v>500</v>
      </c>
      <c r="S50">
        <v>2</v>
      </c>
      <c r="T50">
        <v>1000</v>
      </c>
      <c r="U50" t="str">
        <v>rahul.sharma52@outlook.com</v>
      </c>
    </row>
    <row r="51" spans="1:21" x14ac:dyDescent="0.3">
      <c r="A51" s="5">
        <v>1022</v>
      </c>
      <c r="B51" s="6">
        <v>46157</v>
      </c>
      <c r="C51" s="5" t="s">
        <v>61</v>
      </c>
      <c r="D51" s="5" t="s">
        <v>56</v>
      </c>
      <c r="E51" s="5" t="s">
        <v>46</v>
      </c>
      <c r="F51" s="5" t="s">
        <v>39</v>
      </c>
      <c r="G51" s="7">
        <v>500</v>
      </c>
      <c r="H51" s="5">
        <v>2</v>
      </c>
      <c r="I51" s="7">
        <f t="shared" si="1"/>
        <v>1000</v>
      </c>
      <c r="J51" s="5" t="s">
        <v>78</v>
      </c>
      <c r="K51" s="18"/>
      <c r="L51">
        <v>1046</v>
      </c>
      <c r="M51">
        <v>46141</v>
      </c>
      <c r="N51" t="str">
        <v>Amit Verma</v>
      </c>
      <c r="O51" t="str">
        <v>East</v>
      </c>
      <c r="P51" t="str">
        <v>Stapler</v>
      </c>
      <c r="Q51" t="str">
        <v>Stationery</v>
      </c>
      <c r="R51">
        <v>150</v>
      </c>
      <c r="S51">
        <v>6</v>
      </c>
      <c r="T51">
        <v>900</v>
      </c>
      <c r="U51" t="str">
        <v>amit.verma36@yahoo.com</v>
      </c>
    </row>
    <row r="52" spans="1:21" x14ac:dyDescent="0.3">
      <c r="A52" s="5">
        <v>1044</v>
      </c>
      <c r="B52" s="6">
        <v>46248</v>
      </c>
      <c r="C52" s="5" t="s">
        <v>44</v>
      </c>
      <c r="D52" s="5" t="s">
        <v>45</v>
      </c>
      <c r="E52" s="5" t="s">
        <v>46</v>
      </c>
      <c r="F52" s="5" t="s">
        <v>39</v>
      </c>
      <c r="G52" s="7">
        <v>500</v>
      </c>
      <c r="H52" s="5">
        <v>2</v>
      </c>
      <c r="I52" s="7">
        <f t="shared" si="1"/>
        <v>1000</v>
      </c>
      <c r="J52" s="5" t="s">
        <v>105</v>
      </c>
      <c r="K52" s="18"/>
      <c r="L52">
        <v>1027</v>
      </c>
      <c r="M52">
        <v>46143</v>
      </c>
      <c r="N52" t="str">
        <v>Rahul Sharma</v>
      </c>
      <c r="O52" t="str">
        <v>North</v>
      </c>
      <c r="P52" t="str">
        <v>Notebook</v>
      </c>
      <c r="Q52" t="str">
        <v>Stationery</v>
      </c>
      <c r="R52">
        <v>50</v>
      </c>
      <c r="S52">
        <v>17</v>
      </c>
      <c r="T52">
        <v>850</v>
      </c>
      <c r="U52" t="str">
        <v>rahul.sharma98@gmail.com</v>
      </c>
    </row>
    <row r="53" spans="1:21" x14ac:dyDescent="0.3">
      <c r="A53" s="5">
        <v>1046</v>
      </c>
      <c r="B53" s="6">
        <v>46141</v>
      </c>
      <c r="C53" s="5" t="s">
        <v>79</v>
      </c>
      <c r="D53" s="5" t="s">
        <v>80</v>
      </c>
      <c r="E53" s="5" t="s">
        <v>50</v>
      </c>
      <c r="F53" s="5" t="s">
        <v>51</v>
      </c>
      <c r="G53" s="7">
        <v>150</v>
      </c>
      <c r="H53" s="5">
        <v>6</v>
      </c>
      <c r="I53" s="7">
        <f t="shared" si="1"/>
        <v>900</v>
      </c>
      <c r="J53" s="5" t="s">
        <v>107</v>
      </c>
      <c r="K53" s="18"/>
      <c r="L53">
        <v>1028</v>
      </c>
      <c r="M53">
        <v>46156</v>
      </c>
      <c r="N53" t="str">
        <v>Priya Singh</v>
      </c>
      <c r="O53" t="str">
        <v>South</v>
      </c>
      <c r="P53" t="str">
        <v>Notebook</v>
      </c>
      <c r="Q53" t="str">
        <v>Stationery</v>
      </c>
      <c r="R53">
        <v>50</v>
      </c>
      <c r="S53">
        <v>17</v>
      </c>
      <c r="T53">
        <v>850</v>
      </c>
      <c r="U53" t="str">
        <v>priya.singh78@gmail.com</v>
      </c>
    </row>
    <row r="54" spans="1:21" x14ac:dyDescent="0.3">
      <c r="A54" s="5">
        <v>1027</v>
      </c>
      <c r="B54" s="6">
        <v>46143</v>
      </c>
      <c r="C54" s="5" t="s">
        <v>44</v>
      </c>
      <c r="D54" s="5" t="s">
        <v>45</v>
      </c>
      <c r="E54" s="5" t="s">
        <v>86</v>
      </c>
      <c r="F54" s="5" t="s">
        <v>51</v>
      </c>
      <c r="G54" s="7">
        <v>50</v>
      </c>
      <c r="H54" s="5">
        <v>17</v>
      </c>
      <c r="I54" s="7">
        <f t="shared" si="1"/>
        <v>850</v>
      </c>
      <c r="J54" s="5" t="s">
        <v>87</v>
      </c>
      <c r="K54" s="18"/>
      <c r="L54">
        <v>1018</v>
      </c>
      <c r="M54">
        <v>46081</v>
      </c>
      <c r="N54" t="str">
        <v>Simran Kaur</v>
      </c>
      <c r="O54" t="str">
        <v>South</v>
      </c>
      <c r="P54" t="str">
        <v>Pen Set</v>
      </c>
      <c r="Q54" t="str">
        <v>Stationery</v>
      </c>
      <c r="R54">
        <v>120</v>
      </c>
      <c r="S54">
        <v>7</v>
      </c>
      <c r="T54">
        <v>840</v>
      </c>
      <c r="U54" t="str">
        <v>simran.kaur84@yahoo.com</v>
      </c>
    </row>
    <row r="55" spans="1:21" x14ac:dyDescent="0.3">
      <c r="A55" s="5">
        <v>1028</v>
      </c>
      <c r="B55" s="6">
        <v>46156</v>
      </c>
      <c r="C55" s="5" t="s">
        <v>36</v>
      </c>
      <c r="D55" s="5" t="s">
        <v>37</v>
      </c>
      <c r="E55" s="5" t="s">
        <v>86</v>
      </c>
      <c r="F55" s="5" t="s">
        <v>51</v>
      </c>
      <c r="G55" s="7">
        <v>50</v>
      </c>
      <c r="H55" s="5">
        <v>17</v>
      </c>
      <c r="I55" s="7">
        <f t="shared" si="1"/>
        <v>850</v>
      </c>
      <c r="J55" s="5" t="s">
        <v>88</v>
      </c>
      <c r="K55" s="18"/>
      <c r="L55">
        <v>1051</v>
      </c>
      <c r="M55">
        <v>46227</v>
      </c>
      <c r="N55" t="str">
        <v>Kavita Nair</v>
      </c>
      <c r="O55" t="str">
        <v>West</v>
      </c>
      <c r="P55" t="str">
        <v>Notebook</v>
      </c>
      <c r="Q55" t="str">
        <v>Stationery</v>
      </c>
      <c r="R55">
        <v>50</v>
      </c>
      <c r="S55">
        <v>14</v>
      </c>
      <c r="T55">
        <v>700</v>
      </c>
      <c r="U55" t="str">
        <v>kavita.nair90@outlook.com</v>
      </c>
    </row>
    <row r="56" spans="1:21" x14ac:dyDescent="0.3">
      <c r="A56" s="5">
        <v>1018</v>
      </c>
      <c r="B56" s="6">
        <v>46081</v>
      </c>
      <c r="C56" s="5" t="s">
        <v>73</v>
      </c>
      <c r="D56" s="5" t="s">
        <v>37</v>
      </c>
      <c r="E56" s="5" t="s">
        <v>57</v>
      </c>
      <c r="F56" s="5" t="s">
        <v>51</v>
      </c>
      <c r="G56" s="7">
        <v>120</v>
      </c>
      <c r="H56" s="5">
        <v>7</v>
      </c>
      <c r="I56" s="7">
        <f t="shared" si="1"/>
        <v>840</v>
      </c>
      <c r="J56" s="5" t="s">
        <v>74</v>
      </c>
      <c r="K56" s="18"/>
      <c r="L56">
        <v>1035</v>
      </c>
      <c r="M56">
        <v>46203</v>
      </c>
      <c r="N56" t="str">
        <v>Neha Gupta</v>
      </c>
      <c r="O56" t="str">
        <v>West</v>
      </c>
      <c r="P56" t="str">
        <v>Notebook</v>
      </c>
      <c r="Q56" t="str">
        <v>Stationery</v>
      </c>
      <c r="R56">
        <v>50</v>
      </c>
      <c r="S56">
        <v>13</v>
      </c>
      <c r="T56">
        <v>650</v>
      </c>
      <c r="U56" t="str">
        <v>neha.gupta86@outlook.com</v>
      </c>
    </row>
    <row r="57" spans="1:21" x14ac:dyDescent="0.3">
      <c r="A57" s="5">
        <v>1051</v>
      </c>
      <c r="B57" s="6">
        <v>46227</v>
      </c>
      <c r="C57" s="5" t="s">
        <v>61</v>
      </c>
      <c r="D57" s="5" t="s">
        <v>56</v>
      </c>
      <c r="E57" s="5" t="s">
        <v>86</v>
      </c>
      <c r="F57" s="5" t="s">
        <v>51</v>
      </c>
      <c r="G57" s="7">
        <v>50</v>
      </c>
      <c r="H57" s="5">
        <v>14</v>
      </c>
      <c r="I57" s="7">
        <f t="shared" si="1"/>
        <v>700</v>
      </c>
      <c r="J57" s="5" t="s">
        <v>112</v>
      </c>
      <c r="K57" s="18"/>
      <c r="L57">
        <v>1056</v>
      </c>
      <c r="M57">
        <v>46044</v>
      </c>
      <c r="N57" t="str">
        <v>Neha Gupta</v>
      </c>
      <c r="O57" t="str">
        <v>West</v>
      </c>
      <c r="P57" t="str">
        <v>Stapler</v>
      </c>
      <c r="Q57" t="str">
        <v>Stationery</v>
      </c>
      <c r="R57">
        <v>150</v>
      </c>
      <c r="S57">
        <v>4</v>
      </c>
      <c r="T57">
        <v>600</v>
      </c>
      <c r="U57" t="str">
        <v>neha.gupta73@gmail.com</v>
      </c>
    </row>
    <row r="58" spans="1:21" x14ac:dyDescent="0.3">
      <c r="A58" s="5">
        <v>1035</v>
      </c>
      <c r="B58" s="6">
        <v>46203</v>
      </c>
      <c r="C58" s="5" t="s">
        <v>55</v>
      </c>
      <c r="D58" s="5" t="s">
        <v>56</v>
      </c>
      <c r="E58" s="5" t="s">
        <v>86</v>
      </c>
      <c r="F58" s="5" t="s">
        <v>51</v>
      </c>
      <c r="G58" s="7">
        <v>50</v>
      </c>
      <c r="H58" s="5">
        <v>13</v>
      </c>
      <c r="I58" s="7">
        <f t="shared" si="1"/>
        <v>650</v>
      </c>
      <c r="J58" s="5" t="s">
        <v>95</v>
      </c>
      <c r="K58" s="18"/>
      <c r="L58">
        <v>1007</v>
      </c>
      <c r="M58">
        <v>46066</v>
      </c>
      <c r="N58" t="str">
        <v>Neha Gupta</v>
      </c>
      <c r="O58" t="str">
        <v>West</v>
      </c>
      <c r="P58" t="str">
        <v>Pen Set</v>
      </c>
      <c r="Q58" t="str">
        <v>Stationery</v>
      </c>
      <c r="R58">
        <v>120</v>
      </c>
      <c r="S58">
        <v>4</v>
      </c>
      <c r="T58">
        <v>480</v>
      </c>
      <c r="U58" t="str">
        <v>neha.gupta12@yahoo.com</v>
      </c>
    </row>
    <row r="59" spans="1:21" x14ac:dyDescent="0.3">
      <c r="A59" s="5">
        <v>1056</v>
      </c>
      <c r="B59" s="6">
        <v>46044</v>
      </c>
      <c r="C59" s="5" t="s">
        <v>55</v>
      </c>
      <c r="D59" s="5" t="s">
        <v>56</v>
      </c>
      <c r="E59" s="5" t="s">
        <v>50</v>
      </c>
      <c r="F59" s="5" t="s">
        <v>51</v>
      </c>
      <c r="G59" s="7">
        <v>150</v>
      </c>
      <c r="H59" s="5">
        <v>4</v>
      </c>
      <c r="I59" s="7">
        <f t="shared" si="1"/>
        <v>600</v>
      </c>
      <c r="J59" s="5" t="s">
        <v>117</v>
      </c>
      <c r="K59" s="18"/>
      <c r="L59">
        <v>1050</v>
      </c>
      <c r="M59">
        <v>46042</v>
      </c>
      <c r="N59" t="str">
        <v>Amit Verma</v>
      </c>
      <c r="O59" t="str">
        <v>East</v>
      </c>
      <c r="P59" t="str">
        <v>Stapler</v>
      </c>
      <c r="Q59" t="str">
        <v>Stationery</v>
      </c>
      <c r="R59">
        <v>150</v>
      </c>
      <c r="S59">
        <v>1</v>
      </c>
      <c r="T59">
        <v>150</v>
      </c>
      <c r="U59" t="str">
        <v>amit.verma50@yahoo.com</v>
      </c>
    </row>
    <row r="60" spans="1:21" x14ac:dyDescent="0.3">
      <c r="A60" s="5">
        <v>1007</v>
      </c>
      <c r="B60" s="6">
        <v>46066</v>
      </c>
      <c r="C60" s="5" t="s">
        <v>55</v>
      </c>
      <c r="D60" s="5" t="s">
        <v>56</v>
      </c>
      <c r="E60" s="5" t="s">
        <v>57</v>
      </c>
      <c r="F60" s="5" t="s">
        <v>51</v>
      </c>
      <c r="G60" s="7">
        <v>120</v>
      </c>
      <c r="H60" s="5">
        <v>4</v>
      </c>
      <c r="I60" s="7">
        <f t="shared" si="1"/>
        <v>480</v>
      </c>
      <c r="J60" s="5" t="s">
        <v>58</v>
      </c>
      <c r="K60" s="18"/>
      <c r="L60">
        <v>1037</v>
      </c>
      <c r="M60">
        <v>46084</v>
      </c>
      <c r="N60" t="str">
        <v>Priya Singh</v>
      </c>
      <c r="O60" t="str">
        <v>South</v>
      </c>
      <c r="P60" t="str">
        <v>Pen Set</v>
      </c>
      <c r="Q60" t="str">
        <v>Stationery</v>
      </c>
      <c r="R60">
        <v>120</v>
      </c>
      <c r="S60">
        <v>1</v>
      </c>
      <c r="T60">
        <v>120</v>
      </c>
      <c r="U60" t="str">
        <v>priya.singh76@outlook.com</v>
      </c>
    </row>
    <row r="61" spans="1:21" x14ac:dyDescent="0.3">
      <c r="A61" s="5">
        <v>1050</v>
      </c>
      <c r="B61" s="6">
        <v>46042</v>
      </c>
      <c r="C61" s="5" t="s">
        <v>79</v>
      </c>
      <c r="D61" s="5" t="s">
        <v>80</v>
      </c>
      <c r="E61" s="5" t="s">
        <v>50</v>
      </c>
      <c r="F61" s="5" t="s">
        <v>51</v>
      </c>
      <c r="G61" s="7">
        <v>150</v>
      </c>
      <c r="H61" s="5">
        <v>1</v>
      </c>
      <c r="I61" s="7">
        <f t="shared" si="1"/>
        <v>150</v>
      </c>
      <c r="J61" s="5" t="s">
        <v>111</v>
      </c>
      <c r="K61" s="18"/>
    </row>
    <row r="62" spans="1:21" x14ac:dyDescent="0.3">
      <c r="A62" s="5">
        <v>1037</v>
      </c>
      <c r="B62" s="6">
        <v>46084</v>
      </c>
      <c r="C62" s="5" t="s">
        <v>36</v>
      </c>
      <c r="D62" s="5" t="s">
        <v>37</v>
      </c>
      <c r="E62" s="5" t="s">
        <v>57</v>
      </c>
      <c r="F62" s="5" t="s">
        <v>51</v>
      </c>
      <c r="G62" s="7">
        <v>120</v>
      </c>
      <c r="H62" s="5">
        <v>1</v>
      </c>
      <c r="I62" s="7">
        <f t="shared" si="1"/>
        <v>120</v>
      </c>
      <c r="J62" s="5" t="s">
        <v>97</v>
      </c>
      <c r="K62" s="18"/>
    </row>
  </sheetData>
  <sortState xmlns:xlrd2="http://schemas.microsoft.com/office/spreadsheetml/2017/richdata2" ref="A1:K62">
    <sortCondition descending="1" ref="I1:I6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pane ySplit="1" topLeftCell="A2" activePane="bottomLeft" state="frozen"/>
      <selection pane="bottomLeft" activeCell="F1" sqref="F1"/>
    </sheetView>
  </sheetViews>
  <sheetFormatPr defaultColWidth="8.6640625" defaultRowHeight="14.4" x14ac:dyDescent="0.3"/>
  <cols>
    <col min="1" max="1" width="12" customWidth="1"/>
    <col min="2" max="2" width="16" customWidth="1"/>
    <col min="3" max="3" width="13" customWidth="1"/>
    <col min="4" max="4" width="10" customWidth="1"/>
    <col min="5" max="5" width="13" customWidth="1"/>
  </cols>
  <sheetData>
    <row r="1" spans="1:5" ht="27.6" x14ac:dyDescent="0.3">
      <c r="A1" s="3" t="s">
        <v>122</v>
      </c>
      <c r="B1" s="3" t="s">
        <v>27</v>
      </c>
      <c r="C1" s="3" t="s">
        <v>123</v>
      </c>
      <c r="D1" s="3" t="s">
        <v>28</v>
      </c>
      <c r="E1" s="3" t="s">
        <v>124</v>
      </c>
    </row>
    <row r="2" spans="1:5" x14ac:dyDescent="0.3">
      <c r="A2" s="5" t="s">
        <v>125</v>
      </c>
      <c r="B2" s="5" t="s">
        <v>44</v>
      </c>
      <c r="C2" s="5" t="s">
        <v>126</v>
      </c>
      <c r="D2" s="5" t="s">
        <v>45</v>
      </c>
      <c r="E2" s="6">
        <v>44269</v>
      </c>
    </row>
    <row r="3" spans="1:5" x14ac:dyDescent="0.3">
      <c r="A3" s="5" t="s">
        <v>127</v>
      </c>
      <c r="B3" s="5" t="s">
        <v>36</v>
      </c>
      <c r="C3" s="5" t="s">
        <v>126</v>
      </c>
      <c r="D3" s="5" t="s">
        <v>37</v>
      </c>
      <c r="E3" s="6">
        <v>43647</v>
      </c>
    </row>
    <row r="4" spans="1:5" x14ac:dyDescent="0.3">
      <c r="A4" s="5" t="s">
        <v>128</v>
      </c>
      <c r="B4" s="5" t="s">
        <v>79</v>
      </c>
      <c r="C4" s="5" t="s">
        <v>126</v>
      </c>
      <c r="D4" s="5" t="s">
        <v>80</v>
      </c>
      <c r="E4" s="6">
        <v>44888</v>
      </c>
    </row>
    <row r="5" spans="1:5" x14ac:dyDescent="0.3">
      <c r="A5" s="5" t="s">
        <v>129</v>
      </c>
      <c r="B5" s="5" t="s">
        <v>55</v>
      </c>
      <c r="C5" s="5" t="s">
        <v>126</v>
      </c>
      <c r="D5" s="5" t="s">
        <v>56</v>
      </c>
      <c r="E5" s="6">
        <v>43839</v>
      </c>
    </row>
    <row r="6" spans="1:5" x14ac:dyDescent="0.3">
      <c r="A6" s="5" t="s">
        <v>130</v>
      </c>
      <c r="B6" s="5" t="s">
        <v>63</v>
      </c>
      <c r="C6" s="5" t="s">
        <v>126</v>
      </c>
      <c r="D6" s="5" t="s">
        <v>45</v>
      </c>
      <c r="E6" s="6">
        <v>45076</v>
      </c>
    </row>
    <row r="7" spans="1:5" x14ac:dyDescent="0.3">
      <c r="A7" s="5" t="s">
        <v>131</v>
      </c>
      <c r="B7" s="5" t="s">
        <v>59</v>
      </c>
      <c r="C7" s="5" t="s">
        <v>126</v>
      </c>
      <c r="D7" s="5" t="s">
        <v>37</v>
      </c>
      <c r="E7" s="6">
        <v>43355</v>
      </c>
    </row>
    <row r="8" spans="1:5" x14ac:dyDescent="0.3">
      <c r="A8" s="5" t="s">
        <v>132</v>
      </c>
      <c r="B8" s="5" t="s">
        <v>103</v>
      </c>
      <c r="C8" s="5" t="s">
        <v>126</v>
      </c>
      <c r="D8" s="5" t="s">
        <v>80</v>
      </c>
      <c r="E8" s="6">
        <v>44532</v>
      </c>
    </row>
    <row r="9" spans="1:5" x14ac:dyDescent="0.3">
      <c r="A9" s="5" t="s">
        <v>133</v>
      </c>
      <c r="B9" s="5" t="s">
        <v>61</v>
      </c>
      <c r="C9" s="5" t="s">
        <v>126</v>
      </c>
      <c r="D9" s="5" t="s">
        <v>56</v>
      </c>
      <c r="E9" s="6">
        <v>44609</v>
      </c>
    </row>
    <row r="10" spans="1:5" x14ac:dyDescent="0.3">
      <c r="A10" s="5" t="s">
        <v>134</v>
      </c>
      <c r="B10" s="5" t="s">
        <v>49</v>
      </c>
      <c r="C10" s="5" t="s">
        <v>126</v>
      </c>
      <c r="D10" s="5" t="s">
        <v>45</v>
      </c>
      <c r="E10" s="6">
        <v>45390</v>
      </c>
    </row>
    <row r="11" spans="1:5" x14ac:dyDescent="0.3">
      <c r="A11" s="5" t="s">
        <v>135</v>
      </c>
      <c r="B11" s="5" t="s">
        <v>73</v>
      </c>
      <c r="C11" s="5" t="s">
        <v>126</v>
      </c>
      <c r="D11" s="5" t="s">
        <v>37</v>
      </c>
      <c r="E11" s="6">
        <v>43763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3" customWidth="1"/>
    <col min="3" max="3" width="11" customWidth="1"/>
  </cols>
  <sheetData>
    <row r="1" spans="1:3" x14ac:dyDescent="0.3">
      <c r="A1" s="3" t="s">
        <v>29</v>
      </c>
      <c r="B1" s="3" t="s">
        <v>30</v>
      </c>
      <c r="C1" s="3" t="s">
        <v>31</v>
      </c>
    </row>
    <row r="2" spans="1:3" x14ac:dyDescent="0.3">
      <c r="A2" s="5" t="s">
        <v>38</v>
      </c>
      <c r="B2" s="5" t="s">
        <v>39</v>
      </c>
      <c r="C2" s="7">
        <v>55000</v>
      </c>
    </row>
    <row r="3" spans="1:3" x14ac:dyDescent="0.3">
      <c r="A3" s="5" t="s">
        <v>46</v>
      </c>
      <c r="B3" s="5" t="s">
        <v>39</v>
      </c>
      <c r="C3" s="7">
        <v>500</v>
      </c>
    </row>
    <row r="4" spans="1:3" x14ac:dyDescent="0.3">
      <c r="A4" s="5" t="s">
        <v>53</v>
      </c>
      <c r="B4" s="5" t="s">
        <v>39</v>
      </c>
      <c r="C4" s="7">
        <v>800</v>
      </c>
    </row>
    <row r="5" spans="1:3" x14ac:dyDescent="0.3">
      <c r="A5" s="5" t="s">
        <v>65</v>
      </c>
      <c r="B5" s="5" t="s">
        <v>39</v>
      </c>
      <c r="C5" s="7">
        <v>9000</v>
      </c>
    </row>
    <row r="6" spans="1:3" x14ac:dyDescent="0.3">
      <c r="A6" s="5" t="s">
        <v>86</v>
      </c>
      <c r="B6" s="5" t="s">
        <v>51</v>
      </c>
      <c r="C6" s="7">
        <v>50</v>
      </c>
    </row>
    <row r="7" spans="1:3" x14ac:dyDescent="0.3">
      <c r="A7" s="5" t="s">
        <v>57</v>
      </c>
      <c r="B7" s="5" t="s">
        <v>51</v>
      </c>
      <c r="C7" s="7">
        <v>120</v>
      </c>
    </row>
    <row r="8" spans="1:3" x14ac:dyDescent="0.3">
      <c r="A8" s="5" t="s">
        <v>50</v>
      </c>
      <c r="B8" s="5" t="s">
        <v>51</v>
      </c>
      <c r="C8" s="7">
        <v>150</v>
      </c>
    </row>
    <row r="9" spans="1:3" x14ac:dyDescent="0.3">
      <c r="A9" s="5" t="s">
        <v>82</v>
      </c>
      <c r="B9" s="5" t="s">
        <v>42</v>
      </c>
      <c r="C9" s="7">
        <v>3500</v>
      </c>
    </row>
    <row r="10" spans="1:3" x14ac:dyDescent="0.3">
      <c r="A10" s="5" t="s">
        <v>41</v>
      </c>
      <c r="B10" s="5" t="s">
        <v>42</v>
      </c>
      <c r="C10" s="7">
        <v>7000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showGridLines="0" zoomScaleNormal="100" workbookViewId="0">
      <pane ySplit="2" topLeftCell="A14" activePane="bottomLeft" state="frozen"/>
      <selection pane="bottomLeft" activeCell="E22" sqref="E22"/>
    </sheetView>
  </sheetViews>
  <sheetFormatPr defaultColWidth="8.6640625" defaultRowHeight="14.4" x14ac:dyDescent="0.3"/>
  <cols>
    <col min="1" max="1" width="5" customWidth="1"/>
    <col min="2" max="2" width="10" customWidth="1"/>
    <col min="3" max="3" width="37" bestFit="1" customWidth="1"/>
    <col min="4" max="4" width="94.77734375" bestFit="1" customWidth="1"/>
    <col min="5" max="5" width="34" customWidth="1"/>
  </cols>
  <sheetData>
    <row r="1" spans="1:5" ht="25.5" customHeight="1" x14ac:dyDescent="0.3">
      <c r="A1" s="19" t="s">
        <v>136</v>
      </c>
      <c r="B1" s="19"/>
      <c r="C1" s="19"/>
      <c r="D1" s="19"/>
      <c r="E1" s="19"/>
    </row>
    <row r="2" spans="1:5" x14ac:dyDescent="0.3">
      <c r="A2" s="3" t="s">
        <v>137</v>
      </c>
      <c r="B2" s="3" t="s">
        <v>138</v>
      </c>
      <c r="C2" s="3" t="s">
        <v>139</v>
      </c>
      <c r="D2" s="3" t="s">
        <v>140</v>
      </c>
      <c r="E2" s="3" t="s">
        <v>141</v>
      </c>
    </row>
    <row r="3" spans="1:5" ht="31.5" customHeight="1" x14ac:dyDescent="0.3">
      <c r="A3" s="5">
        <v>1</v>
      </c>
      <c r="B3" s="8" t="s">
        <v>142</v>
      </c>
      <c r="C3" s="5" t="s">
        <v>143</v>
      </c>
      <c r="D3" s="9" t="s">
        <v>144</v>
      </c>
      <c r="E3" s="15">
        <f>SUM(Data!I2:I63)</f>
        <v>3129410</v>
      </c>
    </row>
    <row r="4" spans="1:5" ht="31.5" customHeight="1" x14ac:dyDescent="0.3">
      <c r="A4" s="5">
        <v>2</v>
      </c>
      <c r="B4" s="8" t="s">
        <v>142</v>
      </c>
      <c r="C4" s="5" t="s">
        <v>143</v>
      </c>
      <c r="D4" s="9" t="s">
        <v>145</v>
      </c>
      <c r="E4" s="10">
        <f>AVERAGE(Data!H39:H63)</f>
        <v>8.76</v>
      </c>
    </row>
    <row r="5" spans="1:5" ht="31.5" customHeight="1" x14ac:dyDescent="0.3">
      <c r="A5" s="5">
        <v>3</v>
      </c>
      <c r="B5" s="8" t="s">
        <v>142</v>
      </c>
      <c r="C5" s="5" t="s">
        <v>143</v>
      </c>
      <c r="D5" s="9" t="s">
        <v>146</v>
      </c>
      <c r="E5" s="15">
        <f>MIN(Data!G39:G63)</f>
        <v>50</v>
      </c>
    </row>
    <row r="6" spans="1:5" ht="31.5" customHeight="1" x14ac:dyDescent="0.3">
      <c r="A6" s="5">
        <v>4</v>
      </c>
      <c r="B6" s="8" t="s">
        <v>142</v>
      </c>
      <c r="C6" s="5" t="s">
        <v>143</v>
      </c>
      <c r="D6" s="9" t="s">
        <v>147</v>
      </c>
      <c r="E6" s="15">
        <f>MAX(Data!I39:I63)</f>
        <v>1100000</v>
      </c>
    </row>
    <row r="7" spans="1:5" ht="31.5" customHeight="1" x14ac:dyDescent="0.3">
      <c r="A7" s="5">
        <v>5</v>
      </c>
      <c r="B7" s="8" t="s">
        <v>142</v>
      </c>
      <c r="C7" s="5" t="s">
        <v>143</v>
      </c>
      <c r="D7" s="9" t="s">
        <v>148</v>
      </c>
      <c r="E7" s="10">
        <f>COUNT(Data!A39:A63)</f>
        <v>25</v>
      </c>
    </row>
    <row r="8" spans="1:5" ht="31.5" customHeight="1" x14ac:dyDescent="0.3">
      <c r="A8" s="5">
        <v>6</v>
      </c>
      <c r="B8" s="8" t="s">
        <v>149</v>
      </c>
      <c r="C8" s="5" t="s">
        <v>150</v>
      </c>
      <c r="D8" s="9" t="s">
        <v>151</v>
      </c>
      <c r="E8" s="10"/>
    </row>
    <row r="9" spans="1:5" ht="31.5" customHeight="1" x14ac:dyDescent="0.3">
      <c r="A9" s="5">
        <v>7</v>
      </c>
      <c r="B9" s="8" t="s">
        <v>149</v>
      </c>
      <c r="C9" s="5" t="s">
        <v>150</v>
      </c>
      <c r="D9" s="9" t="s">
        <v>152</v>
      </c>
      <c r="E9" s="10"/>
    </row>
    <row r="10" spans="1:5" ht="31.5" customHeight="1" x14ac:dyDescent="0.3">
      <c r="A10" s="5">
        <v>8</v>
      </c>
      <c r="B10" s="8" t="s">
        <v>149</v>
      </c>
      <c r="C10" s="5" t="s">
        <v>150</v>
      </c>
      <c r="D10" s="9" t="s">
        <v>153</v>
      </c>
      <c r="E10" s="10"/>
    </row>
    <row r="11" spans="1:5" ht="31.5" customHeight="1" x14ac:dyDescent="0.3">
      <c r="A11" s="5">
        <v>9</v>
      </c>
      <c r="B11" s="8" t="s">
        <v>154</v>
      </c>
      <c r="C11" s="5" t="s">
        <v>155</v>
      </c>
      <c r="D11" s="9" t="s">
        <v>156</v>
      </c>
      <c r="E11" s="10"/>
    </row>
    <row r="12" spans="1:5" ht="31.5" customHeight="1" x14ac:dyDescent="0.3">
      <c r="A12" s="5">
        <v>10</v>
      </c>
      <c r="B12" s="8" t="s">
        <v>154</v>
      </c>
      <c r="C12" s="5" t="s">
        <v>155</v>
      </c>
      <c r="D12" s="9" t="s">
        <v>157</v>
      </c>
      <c r="E12" s="10"/>
    </row>
    <row r="13" spans="1:5" ht="31.5" customHeight="1" x14ac:dyDescent="0.3">
      <c r="A13" s="5">
        <v>11</v>
      </c>
      <c r="B13" s="8" t="s">
        <v>158</v>
      </c>
      <c r="C13" s="5" t="s">
        <v>159</v>
      </c>
      <c r="D13" s="9" t="s">
        <v>160</v>
      </c>
      <c r="E13" s="10"/>
    </row>
    <row r="14" spans="1:5" ht="31.5" customHeight="1" x14ac:dyDescent="0.3">
      <c r="A14" s="5">
        <v>12</v>
      </c>
      <c r="B14" s="8" t="s">
        <v>158</v>
      </c>
      <c r="C14" s="5" t="s">
        <v>159</v>
      </c>
      <c r="D14" s="9" t="s">
        <v>161</v>
      </c>
      <c r="E14" s="10"/>
    </row>
    <row r="15" spans="1:5" ht="31.5" customHeight="1" x14ac:dyDescent="0.3">
      <c r="A15" s="5">
        <v>13</v>
      </c>
      <c r="B15" s="8" t="s">
        <v>158</v>
      </c>
      <c r="C15" s="5" t="s">
        <v>159</v>
      </c>
      <c r="D15" s="9" t="s">
        <v>162</v>
      </c>
      <c r="E15" s="10">
        <v>2</v>
      </c>
    </row>
    <row r="16" spans="1:5" ht="31.5" customHeight="1" x14ac:dyDescent="0.3">
      <c r="A16" s="5">
        <v>14</v>
      </c>
      <c r="B16" s="8" t="s">
        <v>163</v>
      </c>
      <c r="C16" s="5" t="s">
        <v>164</v>
      </c>
      <c r="D16" s="9" t="s">
        <v>165</v>
      </c>
      <c r="E16" s="10" t="str">
        <f>LEFT(Data!E2,3)</f>
        <v>Lap</v>
      </c>
    </row>
    <row r="17" spans="1:7" ht="31.5" customHeight="1" x14ac:dyDescent="0.3">
      <c r="A17" s="5">
        <v>15</v>
      </c>
      <c r="B17" s="8" t="s">
        <v>163</v>
      </c>
      <c r="C17" s="5" t="s">
        <v>164</v>
      </c>
      <c r="D17" s="9" t="s">
        <v>166</v>
      </c>
      <c r="E17" s="10" t="str">
        <f>RIGHT(Data!J2,4)</f>
        <v>.com</v>
      </c>
    </row>
    <row r="18" spans="1:7" ht="31.5" customHeight="1" x14ac:dyDescent="0.3">
      <c r="A18" s="5">
        <v>16</v>
      </c>
      <c r="B18" s="8" t="s">
        <v>163</v>
      </c>
      <c r="C18" s="5" t="s">
        <v>164</v>
      </c>
      <c r="D18" s="9" t="s">
        <v>167</v>
      </c>
      <c r="E18" s="10" t="str">
        <f>MID(Data!J2,1,FIND("@",Data!J2)-1)</f>
        <v>priya.singh32</v>
      </c>
      <c r="F18" t="str">
        <f>MID(Data!J2,1,FIND("@",Data!J2)-1)</f>
        <v>priya.singh32</v>
      </c>
    </row>
    <row r="19" spans="1:7" ht="31.5" customHeight="1" x14ac:dyDescent="0.3">
      <c r="A19" s="5">
        <v>17</v>
      </c>
      <c r="B19" s="8" t="s">
        <v>163</v>
      </c>
      <c r="C19" s="5" t="s">
        <v>164</v>
      </c>
      <c r="D19" s="9" t="s">
        <v>168</v>
      </c>
      <c r="E19" s="10">
        <f>LEN(Data!C2)</f>
        <v>11</v>
      </c>
    </row>
    <row r="20" spans="1:7" ht="31.5" customHeight="1" x14ac:dyDescent="0.3">
      <c r="A20" s="5">
        <v>18</v>
      </c>
      <c r="B20" s="8" t="s">
        <v>169</v>
      </c>
      <c r="C20" s="5" t="s">
        <v>170</v>
      </c>
      <c r="D20" s="9" t="s">
        <v>171</v>
      </c>
      <c r="E20" s="10">
        <f>COUNTIF(Data!I2:I63,"&gt;10000")</f>
        <v>31</v>
      </c>
      <c r="F20">
        <f>SUMIF(Data!I2:I63,"&gt;10000")</f>
        <v>3044100</v>
      </c>
      <c r="G20">
        <f>COUNTIF(Data!I39:I63,"&gt;10000")</f>
        <v>16</v>
      </c>
    </row>
    <row r="21" spans="1:7" ht="31.5" customHeight="1" x14ac:dyDescent="0.3">
      <c r="A21" s="5">
        <v>19</v>
      </c>
      <c r="B21" s="8" t="s">
        <v>169</v>
      </c>
      <c r="C21" s="5" t="s">
        <v>170</v>
      </c>
      <c r="D21" s="9" t="s">
        <v>172</v>
      </c>
      <c r="E21" s="10">
        <f>AVERAGEIF(Data!F2:F63,"Electronics",Data!I2:I63)</f>
        <v>93716</v>
      </c>
      <c r="F21">
        <f>AVERAGEIF(Data!F2:F63,"electronics",Data!I2:I63)</f>
        <v>93716</v>
      </c>
    </row>
    <row r="22" spans="1:7" ht="31.5" customHeight="1" x14ac:dyDescent="0.3">
      <c r="A22" s="5">
        <v>20</v>
      </c>
      <c r="B22" s="8" t="s">
        <v>169</v>
      </c>
      <c r="C22" s="5" t="s">
        <v>170</v>
      </c>
      <c r="D22" s="9" t="s">
        <v>173</v>
      </c>
      <c r="E22" s="10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showGridLines="0" zoomScaleNormal="100" workbookViewId="0">
      <pane ySplit="2" topLeftCell="A11" activePane="bottomLeft" state="frozen"/>
      <selection pane="bottomLeft" activeCell="E20" sqref="E20"/>
    </sheetView>
  </sheetViews>
  <sheetFormatPr defaultColWidth="8.6640625" defaultRowHeight="14.4" x14ac:dyDescent="0.3"/>
  <cols>
    <col min="1" max="1" width="5" customWidth="1"/>
    <col min="2" max="2" width="10" customWidth="1"/>
    <col min="3" max="3" width="24" customWidth="1"/>
    <col min="4" max="4" width="128.44140625" bestFit="1" customWidth="1"/>
    <col min="5" max="5" width="34" customWidth="1"/>
  </cols>
  <sheetData>
    <row r="1" spans="1:5" ht="25.5" customHeight="1" x14ac:dyDescent="0.3">
      <c r="A1" s="19" t="s">
        <v>174</v>
      </c>
      <c r="B1" s="19"/>
      <c r="C1" s="19"/>
      <c r="D1" s="19"/>
      <c r="E1" s="19"/>
    </row>
    <row r="2" spans="1:5" x14ac:dyDescent="0.3">
      <c r="A2" s="3" t="s">
        <v>137</v>
      </c>
      <c r="B2" s="3" t="s">
        <v>138</v>
      </c>
      <c r="C2" s="3" t="s">
        <v>139</v>
      </c>
      <c r="D2" s="3" t="s">
        <v>140</v>
      </c>
      <c r="E2" s="3" t="s">
        <v>141</v>
      </c>
    </row>
    <row r="3" spans="1:5" ht="31.5" customHeight="1" x14ac:dyDescent="0.3">
      <c r="A3" s="5">
        <v>1</v>
      </c>
      <c r="B3" s="8" t="s">
        <v>175</v>
      </c>
      <c r="C3" s="5" t="s">
        <v>176</v>
      </c>
      <c r="D3" s="9" t="s">
        <v>177</v>
      </c>
      <c r="E3" s="10">
        <f>_xlfn.XLOOKUP(PriceList!A9,PriceList!A2:A10,PriceList!C2:C10)</f>
        <v>3500</v>
      </c>
    </row>
    <row r="4" spans="1:5" ht="31.5" customHeight="1" x14ac:dyDescent="0.3">
      <c r="A4" s="5">
        <v>2</v>
      </c>
      <c r="B4" s="8" t="s">
        <v>175</v>
      </c>
      <c r="C4" s="5" t="s">
        <v>176</v>
      </c>
      <c r="D4" s="9" t="s">
        <v>178</v>
      </c>
      <c r="E4" s="10" t="str">
        <f>_xlfn.XLOOKUP(Employees!A7,Employees!A2:A11,Employees!C2:C11)</f>
        <v>Sales</v>
      </c>
    </row>
    <row r="5" spans="1:5" ht="31.5" customHeight="1" x14ac:dyDescent="0.3">
      <c r="A5" s="5">
        <v>3</v>
      </c>
      <c r="B5" s="8" t="s">
        <v>179</v>
      </c>
      <c r="C5" s="5" t="s">
        <v>180</v>
      </c>
      <c r="D5" s="9" t="s">
        <v>181</v>
      </c>
      <c r="E5" s="10" t="str">
        <f>VLOOKUP(PriceList!A2,PriceList!A2:C10,2,FALSE)</f>
        <v>Electronics</v>
      </c>
    </row>
    <row r="6" spans="1:5" ht="31.5" customHeight="1" x14ac:dyDescent="0.3">
      <c r="A6" s="5">
        <v>4</v>
      </c>
      <c r="B6" s="8" t="s">
        <v>179</v>
      </c>
      <c r="C6" s="5" t="s">
        <v>180</v>
      </c>
      <c r="D6" s="9" t="s">
        <v>182</v>
      </c>
      <c r="E6" s="10" t="str">
        <f>VLOOKUP(Employees!B3,Employees!B2:E11,3,FALSE)</f>
        <v>South</v>
      </c>
    </row>
    <row r="7" spans="1:5" ht="31.5" customHeight="1" x14ac:dyDescent="0.3">
      <c r="A7" s="5">
        <v>5</v>
      </c>
      <c r="B7" s="8" t="s">
        <v>183</v>
      </c>
      <c r="C7" s="5" t="s">
        <v>184</v>
      </c>
      <c r="D7" s="9" t="s">
        <v>185</v>
      </c>
      <c r="E7" s="23">
        <f>INDEX(Employees!E2:E11,MATCH(Employees!B10,Employees!B2:B11,0))</f>
        <v>45390</v>
      </c>
    </row>
    <row r="8" spans="1:5" ht="31.5" customHeight="1" x14ac:dyDescent="0.3">
      <c r="A8" s="5">
        <v>6</v>
      </c>
      <c r="B8" s="8" t="s">
        <v>183</v>
      </c>
      <c r="C8" s="5" t="s">
        <v>184</v>
      </c>
      <c r="D8" s="9" t="s">
        <v>186</v>
      </c>
      <c r="E8" s="10">
        <f>INDEX(PriceList!C2:C10,MATCH(PriceList!A7,PriceList!A2:A10,0))</f>
        <v>120</v>
      </c>
    </row>
    <row r="9" spans="1:5" ht="31.5" customHeight="1" x14ac:dyDescent="0.3">
      <c r="A9" s="5">
        <v>7</v>
      </c>
      <c r="B9" s="8" t="s">
        <v>187</v>
      </c>
      <c r="C9" s="5" t="s">
        <v>188</v>
      </c>
      <c r="D9" s="9" t="s">
        <v>189</v>
      </c>
      <c r="E9" s="10">
        <f>SUMIF(Data!D2:D63,"north",Data!I2:I63)</f>
        <v>879340</v>
      </c>
    </row>
    <row r="10" spans="1:5" ht="31.5" customHeight="1" x14ac:dyDescent="0.3">
      <c r="A10" s="5">
        <v>8</v>
      </c>
      <c r="B10" s="8" t="s">
        <v>187</v>
      </c>
      <c r="C10" s="5" t="s">
        <v>188</v>
      </c>
      <c r="D10" s="9" t="s">
        <v>190</v>
      </c>
      <c r="E10" s="10">
        <f>SUMIFS(Data!I2:I63,Data!D2:D63,Data!D39,Data!F2:F63,Data!F39)</f>
        <v>1777000</v>
      </c>
    </row>
    <row r="11" spans="1:5" ht="31.5" customHeight="1" x14ac:dyDescent="0.3">
      <c r="A11" s="5">
        <v>9</v>
      </c>
      <c r="B11" s="8" t="s">
        <v>187</v>
      </c>
      <c r="C11" s="5" t="s">
        <v>188</v>
      </c>
      <c r="D11" s="9" t="s">
        <v>191</v>
      </c>
      <c r="E11" s="10">
        <f>SUMIF(Data!G2:G63,"&gt;1000")</f>
        <v>328000</v>
      </c>
    </row>
    <row r="12" spans="1:5" ht="31.5" customHeight="1" x14ac:dyDescent="0.3">
      <c r="A12" s="5">
        <v>10</v>
      </c>
      <c r="B12" s="8" t="s">
        <v>192</v>
      </c>
      <c r="C12" s="5" t="s">
        <v>193</v>
      </c>
      <c r="D12" s="9" t="s">
        <v>194</v>
      </c>
      <c r="E12" s="10">
        <f>COUNTIF(Data!C2:C63,Data!C4)</f>
        <v>13</v>
      </c>
    </row>
    <row r="13" spans="1:5" ht="31.5" customHeight="1" x14ac:dyDescent="0.3">
      <c r="A13" s="5">
        <v>11</v>
      </c>
      <c r="B13" s="8" t="s">
        <v>192</v>
      </c>
      <c r="C13" s="5" t="s">
        <v>193</v>
      </c>
      <c r="D13" s="9" t="s">
        <v>195</v>
      </c>
      <c r="E13" s="10">
        <f>COUNTIFS(Data!D2:D63,"east",Data!H2:H63,"&gt;=10")</f>
        <v>4</v>
      </c>
    </row>
    <row r="14" spans="1:5" ht="31.5" customHeight="1" x14ac:dyDescent="0.3">
      <c r="A14" s="5">
        <v>12</v>
      </c>
      <c r="B14" s="8" t="s">
        <v>192</v>
      </c>
      <c r="C14" s="5" t="s">
        <v>193</v>
      </c>
      <c r="D14" s="9" t="s">
        <v>196</v>
      </c>
      <c r="E14" s="10">
        <f>COUNTIF(Data!F2:F63,Data!F48)</f>
        <v>17</v>
      </c>
    </row>
    <row r="15" spans="1:5" ht="31.5" customHeight="1" x14ac:dyDescent="0.3">
      <c r="A15" s="5">
        <v>13</v>
      </c>
      <c r="B15" s="8" t="s">
        <v>197</v>
      </c>
      <c r="C15" s="5" t="s">
        <v>198</v>
      </c>
      <c r="D15" s="9" t="s">
        <v>199</v>
      </c>
      <c r="E15" s="23">
        <f ca="1">TODAY()</f>
        <v>46280</v>
      </c>
    </row>
    <row r="16" spans="1:5" ht="31.5" customHeight="1" x14ac:dyDescent="0.3">
      <c r="A16" s="5">
        <v>14</v>
      </c>
      <c r="B16" s="8" t="s">
        <v>197</v>
      </c>
      <c r="C16" s="5" t="s">
        <v>198</v>
      </c>
      <c r="D16" s="9" t="s">
        <v>200</v>
      </c>
      <c r="E16" s="10">
        <f>YEAR(Data!B2)</f>
        <v>2026</v>
      </c>
    </row>
    <row r="17" spans="1:5" ht="31.5" customHeight="1" x14ac:dyDescent="0.3">
      <c r="A17" s="5">
        <v>15</v>
      </c>
      <c r="B17" s="8" t="s">
        <v>197</v>
      </c>
      <c r="C17" s="5" t="s">
        <v>198</v>
      </c>
      <c r="D17" s="9" t="s">
        <v>201</v>
      </c>
      <c r="E17" s="10">
        <f>MONTH(Data!B2)</f>
        <v>6</v>
      </c>
    </row>
    <row r="18" spans="1:5" ht="31.5" customHeight="1" x14ac:dyDescent="0.3">
      <c r="A18" s="5">
        <v>16</v>
      </c>
      <c r="B18" s="8" t="s">
        <v>197</v>
      </c>
      <c r="C18" s="5" t="s">
        <v>198</v>
      </c>
      <c r="D18" s="9" t="s">
        <v>202</v>
      </c>
      <c r="E18" s="10">
        <f ca="1">DATEDIF(Data!B24,TODAY(),"d")</f>
        <v>93</v>
      </c>
    </row>
    <row r="19" spans="1:5" ht="31.5" customHeight="1" x14ac:dyDescent="0.3">
      <c r="A19" s="5">
        <v>17</v>
      </c>
      <c r="B19" s="8" t="s">
        <v>197</v>
      </c>
      <c r="C19" s="5" t="s">
        <v>198</v>
      </c>
      <c r="D19" s="9" t="s">
        <v>203</v>
      </c>
      <c r="E19" s="23">
        <f>EDATE(Data!B2,6)</f>
        <v>46373</v>
      </c>
    </row>
    <row r="20" spans="1:5" ht="31.5" customHeight="1" x14ac:dyDescent="0.3">
      <c r="A20" s="5">
        <v>18</v>
      </c>
      <c r="B20" s="8" t="s">
        <v>197</v>
      </c>
      <c r="C20" s="5" t="s">
        <v>198</v>
      </c>
      <c r="D20" s="9" t="s">
        <v>204</v>
      </c>
      <c r="E20" s="10">
        <f>NETWORKDAYS(D21,Data!B2)</f>
        <v>32993</v>
      </c>
    </row>
    <row r="21" spans="1:5" x14ac:dyDescent="0.3">
      <c r="D21" s="2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showGridLines="0" tabSelected="1" zoomScale="53" zoomScaleNormal="100" workbookViewId="0">
      <pane ySplit="2" topLeftCell="A29" activePane="bottomLeft" state="frozen"/>
      <selection pane="bottomLeft" activeCell="E37" sqref="E37"/>
    </sheetView>
  </sheetViews>
  <sheetFormatPr defaultColWidth="8.6640625" defaultRowHeight="14.4" x14ac:dyDescent="0.3"/>
  <cols>
    <col min="1" max="1" width="5" customWidth="1"/>
    <col min="2" max="2" width="10" customWidth="1"/>
    <col min="3" max="3" width="37" bestFit="1" customWidth="1"/>
    <col min="4" max="4" width="128.44140625" bestFit="1" customWidth="1"/>
    <col min="5" max="5" width="70.6640625" bestFit="1" customWidth="1"/>
  </cols>
  <sheetData>
    <row r="1" spans="1:5" ht="25.5" customHeight="1" x14ac:dyDescent="0.3">
      <c r="A1" s="19" t="s">
        <v>205</v>
      </c>
      <c r="B1" s="19"/>
      <c r="C1" s="19"/>
      <c r="D1" s="19"/>
      <c r="E1" s="19"/>
    </row>
    <row r="2" spans="1:5" x14ac:dyDescent="0.3">
      <c r="A2" s="3" t="s">
        <v>137</v>
      </c>
      <c r="B2" s="3" t="s">
        <v>138</v>
      </c>
      <c r="C2" s="3" t="s">
        <v>139</v>
      </c>
      <c r="D2" s="3" t="s">
        <v>140</v>
      </c>
      <c r="E2" s="3" t="s">
        <v>206</v>
      </c>
    </row>
    <row r="3" spans="1:5" ht="15.6" x14ac:dyDescent="0.3">
      <c r="A3" s="22" t="s">
        <v>207</v>
      </c>
      <c r="B3" s="22"/>
      <c r="C3" s="22"/>
      <c r="D3" s="22"/>
      <c r="E3" s="22"/>
    </row>
    <row r="4" spans="1:5" ht="31.5" customHeight="1" x14ac:dyDescent="0.3">
      <c r="A4" s="5">
        <v>1</v>
      </c>
      <c r="B4" s="8" t="s">
        <v>142</v>
      </c>
      <c r="C4" s="5" t="s">
        <v>143</v>
      </c>
      <c r="D4" s="9" t="s">
        <v>144</v>
      </c>
      <c r="E4" s="11">
        <f>SUM(Data!I2:I61)</f>
        <v>3031410</v>
      </c>
    </row>
    <row r="5" spans="1:5" ht="31.5" customHeight="1" x14ac:dyDescent="0.3">
      <c r="A5" s="5">
        <v>2</v>
      </c>
      <c r="B5" s="8" t="s">
        <v>142</v>
      </c>
      <c r="C5" s="5" t="s">
        <v>143</v>
      </c>
      <c r="D5" s="9" t="s">
        <v>145</v>
      </c>
      <c r="E5" s="11">
        <f>AVERAGE(Data!H2:H61)</f>
        <v>10.066666666666666</v>
      </c>
    </row>
    <row r="6" spans="1:5" ht="31.5" customHeight="1" x14ac:dyDescent="0.3">
      <c r="A6" s="5">
        <v>3</v>
      </c>
      <c r="B6" s="8" t="s">
        <v>142</v>
      </c>
      <c r="C6" s="5" t="s">
        <v>143</v>
      </c>
      <c r="D6" s="9" t="s">
        <v>146</v>
      </c>
      <c r="E6" s="11">
        <f>MIN(Data!G2:G61)</f>
        <v>50</v>
      </c>
    </row>
    <row r="7" spans="1:5" ht="31.5" customHeight="1" x14ac:dyDescent="0.3">
      <c r="A7" s="5">
        <v>4</v>
      </c>
      <c r="B7" s="8" t="s">
        <v>142</v>
      </c>
      <c r="C7" s="5" t="s">
        <v>143</v>
      </c>
      <c r="D7" s="9" t="s">
        <v>147</v>
      </c>
      <c r="E7" s="11">
        <f>MAX(Data!I2:I61)</f>
        <v>1100000</v>
      </c>
    </row>
    <row r="8" spans="1:5" ht="31.5" customHeight="1" x14ac:dyDescent="0.3">
      <c r="A8" s="5">
        <v>5</v>
      </c>
      <c r="B8" s="8" t="s">
        <v>142</v>
      </c>
      <c r="C8" s="5" t="s">
        <v>143</v>
      </c>
      <c r="D8" s="9" t="s">
        <v>148</v>
      </c>
      <c r="E8" s="11">
        <f>COUNT(Data!A2:A61)</f>
        <v>60</v>
      </c>
    </row>
    <row r="9" spans="1:5" ht="31.5" customHeight="1" x14ac:dyDescent="0.3">
      <c r="A9" s="5">
        <v>6</v>
      </c>
      <c r="B9" s="8" t="s">
        <v>149</v>
      </c>
      <c r="C9" s="5" t="s">
        <v>150</v>
      </c>
      <c r="D9" s="9" t="s">
        <v>151</v>
      </c>
      <c r="E9" s="11" t="str">
        <f>IF(Data!I2&gt;20000,"Big","Small")</f>
        <v>Big</v>
      </c>
    </row>
    <row r="10" spans="1:5" ht="31.5" customHeight="1" x14ac:dyDescent="0.3">
      <c r="A10" s="5">
        <v>7</v>
      </c>
      <c r="B10" s="8" t="s">
        <v>149</v>
      </c>
      <c r="C10" s="5" t="s">
        <v>150</v>
      </c>
      <c r="D10" s="9" t="s">
        <v>152</v>
      </c>
      <c r="E10" s="11" t="str">
        <f>IF(AND(Data!H2&gt;10,Data!D2="North"),"Priority","Normal")</f>
        <v>Normal</v>
      </c>
    </row>
    <row r="11" spans="1:5" ht="31.5" customHeight="1" x14ac:dyDescent="0.3">
      <c r="A11" s="5">
        <v>8</v>
      </c>
      <c r="B11" s="8" t="s">
        <v>149</v>
      </c>
      <c r="C11" s="5" t="s">
        <v>150</v>
      </c>
      <c r="D11" s="9" t="s">
        <v>153</v>
      </c>
      <c r="E11" s="11" t="str">
        <f>IF(OR(Data!F2="Electronics",Data!I2&gt;50000),"Discount","No Discount")</f>
        <v>Discount</v>
      </c>
    </row>
    <row r="12" spans="1:5" ht="31.5" customHeight="1" x14ac:dyDescent="0.3">
      <c r="A12" s="5">
        <v>9</v>
      </c>
      <c r="B12" s="8" t="s">
        <v>154</v>
      </c>
      <c r="C12" s="5" t="s">
        <v>155</v>
      </c>
      <c r="D12" s="9" t="s">
        <v>156</v>
      </c>
      <c r="E12" s="11">
        <f>I2*$K$1</f>
        <v>0</v>
      </c>
    </row>
    <row r="13" spans="1:5" ht="31.5" customHeight="1" x14ac:dyDescent="0.3">
      <c r="A13" s="5">
        <v>10</v>
      </c>
      <c r="B13" s="8" t="s">
        <v>154</v>
      </c>
      <c r="C13" s="5" t="s">
        <v>155</v>
      </c>
      <c r="D13" s="9" t="s">
        <v>157</v>
      </c>
      <c r="E13" s="11" t="s">
        <v>208</v>
      </c>
    </row>
    <row r="14" spans="1:5" ht="31.5" customHeight="1" x14ac:dyDescent="0.3">
      <c r="A14" s="5">
        <v>11</v>
      </c>
      <c r="B14" s="8" t="s">
        <v>158</v>
      </c>
      <c r="C14" s="5" t="s">
        <v>159</v>
      </c>
      <c r="D14" s="9" t="s">
        <v>160</v>
      </c>
      <c r="E14" s="11" t="s">
        <v>209</v>
      </c>
    </row>
    <row r="15" spans="1:5" ht="31.5" customHeight="1" x14ac:dyDescent="0.3">
      <c r="A15" s="5">
        <v>12</v>
      </c>
      <c r="B15" s="8" t="s">
        <v>158</v>
      </c>
      <c r="C15" s="5" t="s">
        <v>159</v>
      </c>
      <c r="D15" s="9" t="s">
        <v>161</v>
      </c>
      <c r="E15" s="11" t="s">
        <v>210</v>
      </c>
    </row>
    <row r="16" spans="1:5" ht="31.5" customHeight="1" x14ac:dyDescent="0.3">
      <c r="A16" s="5">
        <v>13</v>
      </c>
      <c r="B16" s="8" t="s">
        <v>158</v>
      </c>
      <c r="C16" s="5" t="s">
        <v>159</v>
      </c>
      <c r="D16" s="9" t="s">
        <v>162</v>
      </c>
      <c r="E16" s="11" t="s">
        <v>211</v>
      </c>
    </row>
    <row r="17" spans="1:5" ht="31.5" customHeight="1" x14ac:dyDescent="0.3">
      <c r="A17" s="5">
        <v>14</v>
      </c>
      <c r="B17" s="8" t="s">
        <v>163</v>
      </c>
      <c r="C17" s="5" t="s">
        <v>164</v>
      </c>
      <c r="D17" s="9" t="s">
        <v>165</v>
      </c>
      <c r="E17" s="11" t="str">
        <f>LEFT(Data!E2,3)</f>
        <v>Lap</v>
      </c>
    </row>
    <row r="18" spans="1:5" ht="31.5" customHeight="1" x14ac:dyDescent="0.3">
      <c r="A18" s="5">
        <v>15</v>
      </c>
      <c r="B18" s="8" t="s">
        <v>163</v>
      </c>
      <c r="C18" s="5" t="s">
        <v>164</v>
      </c>
      <c r="D18" s="9" t="s">
        <v>166</v>
      </c>
      <c r="E18" s="11" t="str">
        <f>RIGHT(Data!J2,4)</f>
        <v>.com</v>
      </c>
    </row>
    <row r="19" spans="1:5" ht="31.5" customHeight="1" x14ac:dyDescent="0.3">
      <c r="A19" s="5">
        <v>16</v>
      </c>
      <c r="B19" s="8" t="s">
        <v>163</v>
      </c>
      <c r="C19" s="5" t="s">
        <v>164</v>
      </c>
      <c r="D19" s="9" t="s">
        <v>167</v>
      </c>
      <c r="E19" s="11" t="str">
        <f>MID(Data!J2,1,FIND("@",Data!J2)-1)</f>
        <v>priya.singh32</v>
      </c>
    </row>
    <row r="20" spans="1:5" ht="31.5" customHeight="1" x14ac:dyDescent="0.3">
      <c r="A20" s="5">
        <v>17</v>
      </c>
      <c r="B20" s="8" t="s">
        <v>163</v>
      </c>
      <c r="C20" s="5" t="s">
        <v>164</v>
      </c>
      <c r="D20" s="9" t="s">
        <v>168</v>
      </c>
      <c r="E20" s="11">
        <f>LEN(Data!C2)</f>
        <v>11</v>
      </c>
    </row>
    <row r="21" spans="1:5" ht="31.5" customHeight="1" x14ac:dyDescent="0.3">
      <c r="A21" s="5">
        <v>18</v>
      </c>
      <c r="B21" s="8" t="s">
        <v>169</v>
      </c>
      <c r="C21" s="5" t="s">
        <v>170</v>
      </c>
      <c r="D21" s="9" t="s">
        <v>171</v>
      </c>
      <c r="E21" s="11">
        <f>COUNTIF(Data!I2:I61,"&gt;10000")</f>
        <v>29</v>
      </c>
    </row>
    <row r="22" spans="1:5" ht="31.5" customHeight="1" x14ac:dyDescent="0.3">
      <c r="A22" s="5">
        <v>19</v>
      </c>
      <c r="B22" s="8" t="s">
        <v>169</v>
      </c>
      <c r="C22" s="5" t="s">
        <v>170</v>
      </c>
      <c r="D22" s="9" t="s">
        <v>172</v>
      </c>
      <c r="E22" s="11">
        <f>AVERAGEIF(Data!F2:F61,"Electronics",Data!I2:I61)</f>
        <v>93716</v>
      </c>
    </row>
    <row r="23" spans="1:5" ht="31.5" customHeight="1" x14ac:dyDescent="0.3">
      <c r="A23" s="5">
        <v>20</v>
      </c>
      <c r="B23" s="8" t="s">
        <v>169</v>
      </c>
      <c r="C23" s="5" t="s">
        <v>170</v>
      </c>
      <c r="D23" s="9" t="s">
        <v>173</v>
      </c>
      <c r="E23" s="11" t="str">
        <f>IF(AND(Data!H2&gt;15,Data!G2&lt;1000),"Review","OK")</f>
        <v>OK</v>
      </c>
    </row>
    <row r="24" spans="1:5" ht="15.6" x14ac:dyDescent="0.3">
      <c r="A24" s="22" t="s">
        <v>212</v>
      </c>
      <c r="B24" s="22"/>
      <c r="C24" s="22"/>
      <c r="D24" s="22"/>
      <c r="E24" s="22"/>
    </row>
    <row r="25" spans="1:5" ht="31.5" customHeight="1" x14ac:dyDescent="0.3">
      <c r="A25" s="5">
        <v>1</v>
      </c>
      <c r="B25" s="8" t="s">
        <v>175</v>
      </c>
      <c r="C25" s="5" t="s">
        <v>176</v>
      </c>
      <c r="D25" s="9" t="s">
        <v>177</v>
      </c>
      <c r="E25" s="12">
        <f>INDEX(PriceList!C2:C10,MATCH("Office Chair",PriceList!A2:A10,0))</f>
        <v>3500</v>
      </c>
    </row>
    <row r="26" spans="1:5" ht="31.5" customHeight="1" x14ac:dyDescent="0.3">
      <c r="A26" s="5">
        <v>2</v>
      </c>
      <c r="B26" s="8" t="s">
        <v>175</v>
      </c>
      <c r="C26" s="5" t="s">
        <v>176</v>
      </c>
      <c r="D26" s="9" t="s">
        <v>178</v>
      </c>
      <c r="E26" s="11" t="str">
        <f>INDEX(Employees!C2:C11,MATCH("E006",Employees!A2:A11,0))</f>
        <v>Sales</v>
      </c>
    </row>
    <row r="27" spans="1:5" ht="31.5" customHeight="1" x14ac:dyDescent="0.3">
      <c r="A27" s="5">
        <v>3</v>
      </c>
      <c r="B27" s="8" t="s">
        <v>179</v>
      </c>
      <c r="C27" s="5" t="s">
        <v>180</v>
      </c>
      <c r="D27" s="9" t="s">
        <v>181</v>
      </c>
      <c r="E27" s="11" t="str">
        <f>VLOOKUP("Laptop",PriceList!A2:C10,2,FALSE())</f>
        <v>Electronics</v>
      </c>
    </row>
    <row r="28" spans="1:5" ht="31.5" customHeight="1" x14ac:dyDescent="0.3">
      <c r="A28" s="5">
        <v>4</v>
      </c>
      <c r="B28" s="8" t="s">
        <v>179</v>
      </c>
      <c r="C28" s="5" t="s">
        <v>180</v>
      </c>
      <c r="D28" s="9" t="s">
        <v>182</v>
      </c>
      <c r="E28" s="11" t="str">
        <f>VLOOKUP("Priya Singh",Employees!B2:D11,3,FALSE())</f>
        <v>South</v>
      </c>
    </row>
    <row r="29" spans="1:5" ht="31.5" customHeight="1" x14ac:dyDescent="0.3">
      <c r="A29" s="5">
        <v>5</v>
      </c>
      <c r="B29" s="8" t="s">
        <v>183</v>
      </c>
      <c r="C29" s="5" t="s">
        <v>184</v>
      </c>
      <c r="D29" s="9" t="s">
        <v>185</v>
      </c>
      <c r="E29" s="13">
        <f>INDEX(Employees!E2:E11,MATCH("Rohan Das",Employees!B2:B11,0))</f>
        <v>45390</v>
      </c>
    </row>
    <row r="30" spans="1:5" ht="31.5" customHeight="1" x14ac:dyDescent="0.3">
      <c r="A30" s="5">
        <v>6</v>
      </c>
      <c r="B30" s="8" t="s">
        <v>183</v>
      </c>
      <c r="C30" s="5" t="s">
        <v>184</v>
      </c>
      <c r="D30" s="9" t="s">
        <v>186</v>
      </c>
      <c r="E30" s="12">
        <f>INDEX(PriceList!C2:C10,MATCH("Pen Set",PriceList!A2:A10,0))</f>
        <v>120</v>
      </c>
    </row>
    <row r="31" spans="1:5" ht="31.5" customHeight="1" x14ac:dyDescent="0.3">
      <c r="A31" s="5">
        <v>7</v>
      </c>
      <c r="B31" s="8" t="s">
        <v>187</v>
      </c>
      <c r="C31" s="5" t="s">
        <v>188</v>
      </c>
      <c r="D31" s="9" t="s">
        <v>189</v>
      </c>
      <c r="E31" s="11">
        <f>SUMIF(Data!D2:D61,"North",Data!I2:I61)</f>
        <v>781340</v>
      </c>
    </row>
    <row r="32" spans="1:5" ht="31.5" customHeight="1" x14ac:dyDescent="0.3">
      <c r="A32" s="5">
        <v>8</v>
      </c>
      <c r="B32" s="8" t="s">
        <v>187</v>
      </c>
      <c r="C32" s="5" t="s">
        <v>188</v>
      </c>
      <c r="D32" s="9" t="s">
        <v>190</v>
      </c>
      <c r="E32" s="11">
        <f>SUMIFS(Data!I2:I61,Data!D2:D61,"South",Data!F2:F61,"Electronics")</f>
        <v>1777000</v>
      </c>
    </row>
    <row r="33" spans="1:5" ht="31.5" customHeight="1" x14ac:dyDescent="0.3">
      <c r="A33" s="5">
        <v>9</v>
      </c>
      <c r="B33" s="8" t="s">
        <v>187</v>
      </c>
      <c r="C33" s="5" t="s">
        <v>188</v>
      </c>
      <c r="D33" s="9" t="s">
        <v>191</v>
      </c>
      <c r="E33" s="11">
        <f>SUMIF(Data!G2:G61,"&gt;1000",Data!H2:H61)</f>
        <v>223</v>
      </c>
    </row>
    <row r="34" spans="1:5" ht="31.5" customHeight="1" x14ac:dyDescent="0.3">
      <c r="A34" s="5">
        <v>10</v>
      </c>
      <c r="B34" s="8" t="s">
        <v>192</v>
      </c>
      <c r="C34" s="5" t="s">
        <v>193</v>
      </c>
      <c r="D34" s="9" t="s">
        <v>194</v>
      </c>
      <c r="E34" s="11">
        <f>COUNTIF(Data!C2:C61,"Rahul Sharma")</f>
        <v>11</v>
      </c>
    </row>
    <row r="35" spans="1:5" ht="31.5" customHeight="1" x14ac:dyDescent="0.3">
      <c r="A35" s="5">
        <v>11</v>
      </c>
      <c r="B35" s="8" t="s">
        <v>192</v>
      </c>
      <c r="C35" s="5" t="s">
        <v>193</v>
      </c>
      <c r="D35" s="9" t="s">
        <v>195</v>
      </c>
      <c r="E35" s="11">
        <f>COUNTIFS(Data!D2:D61,"East",Data!H2:H61,"&gt;=10")</f>
        <v>4</v>
      </c>
    </row>
    <row r="36" spans="1:5" ht="31.5" customHeight="1" x14ac:dyDescent="0.3">
      <c r="A36" s="5">
        <v>12</v>
      </c>
      <c r="B36" s="8" t="s">
        <v>192</v>
      </c>
      <c r="C36" s="5" t="s">
        <v>193</v>
      </c>
      <c r="D36" s="9" t="s">
        <v>196</v>
      </c>
      <c r="E36" s="11">
        <f>COUNTIF(Data!F2:F61,"Furniture")</f>
        <v>15</v>
      </c>
    </row>
    <row r="37" spans="1:5" ht="31.5" customHeight="1" x14ac:dyDescent="0.3">
      <c r="A37" s="5">
        <v>13</v>
      </c>
      <c r="B37" s="8" t="s">
        <v>197</v>
      </c>
      <c r="C37" s="5" t="s">
        <v>198</v>
      </c>
      <c r="D37" s="9" t="s">
        <v>199</v>
      </c>
      <c r="E37" s="14">
        <f ca="1">TODAY()</f>
        <v>46280</v>
      </c>
    </row>
    <row r="38" spans="1:5" ht="31.5" customHeight="1" x14ac:dyDescent="0.3">
      <c r="A38" s="5">
        <v>14</v>
      </c>
      <c r="B38" s="8" t="s">
        <v>197</v>
      </c>
      <c r="C38" s="5" t="s">
        <v>198</v>
      </c>
      <c r="D38" s="9" t="s">
        <v>200</v>
      </c>
      <c r="E38" s="11">
        <f>YEAR(Data!B2)</f>
        <v>2026</v>
      </c>
    </row>
    <row r="39" spans="1:5" ht="31.5" customHeight="1" x14ac:dyDescent="0.3">
      <c r="A39" s="5">
        <v>15</v>
      </c>
      <c r="B39" s="8" t="s">
        <v>197</v>
      </c>
      <c r="C39" s="5" t="s">
        <v>198</v>
      </c>
      <c r="D39" s="9" t="s">
        <v>201</v>
      </c>
      <c r="E39" s="11">
        <f>MONTH(Data!B2)</f>
        <v>6</v>
      </c>
    </row>
    <row r="40" spans="1:5" ht="31.5" customHeight="1" x14ac:dyDescent="0.3">
      <c r="A40" s="5">
        <v>16</v>
      </c>
      <c r="B40" s="8" t="s">
        <v>197</v>
      </c>
      <c r="C40" s="5" t="s">
        <v>198</v>
      </c>
      <c r="D40" s="9" t="s">
        <v>202</v>
      </c>
      <c r="E40" s="11">
        <f ca="1">DATEDIF(Employees!E4,TODAY(),"y")</f>
        <v>3</v>
      </c>
    </row>
    <row r="41" spans="1:5" ht="31.5" customHeight="1" x14ac:dyDescent="0.3">
      <c r="A41" s="5">
        <v>17</v>
      </c>
      <c r="B41" s="8" t="s">
        <v>197</v>
      </c>
      <c r="C41" s="5" t="s">
        <v>198</v>
      </c>
      <c r="D41" s="9" t="s">
        <v>203</v>
      </c>
      <c r="E41" s="11">
        <f>EDATE(Data!B2,6)</f>
        <v>46373</v>
      </c>
    </row>
    <row r="42" spans="1:5" ht="31.5" customHeight="1" x14ac:dyDescent="0.3">
      <c r="A42" s="5">
        <v>18</v>
      </c>
      <c r="B42" s="8" t="s">
        <v>197</v>
      </c>
      <c r="C42" s="5" t="s">
        <v>198</v>
      </c>
      <c r="D42" s="9" t="s">
        <v>204</v>
      </c>
      <c r="E42" s="11">
        <f>NETWORKDAYS(DATE(2026,1,1),Data!B2)</f>
        <v>120</v>
      </c>
    </row>
  </sheetData>
  <mergeCells count="3">
    <mergeCell ref="A1:E1"/>
    <mergeCell ref="A3:E3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164B-B362-4F38-B119-9C4D336FA535}">
  <dimension ref="A1:K62"/>
  <sheetViews>
    <sheetView workbookViewId="0">
      <selection sqref="A1:K62"/>
    </sheetView>
  </sheetViews>
  <sheetFormatPr defaultRowHeight="14.4" x14ac:dyDescent="0.3"/>
  <cols>
    <col min="2" max="2" width="12.77734375" bestFit="1" customWidth="1"/>
    <col min="3" max="3" width="13.77734375" bestFit="1" customWidth="1"/>
    <col min="6" max="6" width="10.77734375" bestFit="1" customWidth="1"/>
    <col min="10" max="10" width="27.88671875" bestFit="1" customWidth="1"/>
  </cols>
  <sheetData>
    <row r="1" spans="1:11" x14ac:dyDescent="0.3">
      <c r="A1" s="5">
        <v>1001</v>
      </c>
      <c r="B1" s="6">
        <v>46190</v>
      </c>
      <c r="C1" s="5" t="s">
        <v>36</v>
      </c>
      <c r="D1" s="5" t="s">
        <v>37</v>
      </c>
      <c r="E1" s="5" t="s">
        <v>38</v>
      </c>
      <c r="F1" s="5" t="s">
        <v>39</v>
      </c>
      <c r="G1" s="7">
        <v>55000</v>
      </c>
      <c r="H1" s="5">
        <v>9</v>
      </c>
      <c r="I1" s="7">
        <f t="shared" ref="I1:I62" si="0">G1*H1</f>
        <v>495000</v>
      </c>
      <c r="J1" s="5" t="s">
        <v>40</v>
      </c>
      <c r="K1" s="18">
        <f ca="1">I1*$K$1</f>
        <v>89100</v>
      </c>
    </row>
    <row r="2" spans="1:11" x14ac:dyDescent="0.3">
      <c r="A2" s="5">
        <v>1002</v>
      </c>
      <c r="B2" s="6">
        <v>46062</v>
      </c>
      <c r="C2" s="5" t="s">
        <v>36</v>
      </c>
      <c r="D2" s="5" t="s">
        <v>37</v>
      </c>
      <c r="E2" s="5" t="s">
        <v>41</v>
      </c>
      <c r="F2" s="5" t="s">
        <v>42</v>
      </c>
      <c r="G2" s="7">
        <v>7000</v>
      </c>
      <c r="H2" s="5">
        <v>3</v>
      </c>
      <c r="I2" s="7">
        <f t="shared" si="0"/>
        <v>21000</v>
      </c>
      <c r="J2" s="5" t="s">
        <v>43</v>
      </c>
      <c r="K2" s="18">
        <f t="shared" ref="K2:K62" ca="1" si="1">I2*$K$1</f>
        <v>3780</v>
      </c>
    </row>
    <row r="3" spans="1:11" x14ac:dyDescent="0.3">
      <c r="A3" s="5">
        <v>1003</v>
      </c>
      <c r="B3" s="6">
        <v>46035</v>
      </c>
      <c r="C3" s="5" t="s">
        <v>44</v>
      </c>
      <c r="D3" s="5" t="s">
        <v>45</v>
      </c>
      <c r="E3" s="5" t="s">
        <v>46</v>
      </c>
      <c r="F3" s="5" t="s">
        <v>39</v>
      </c>
      <c r="G3" s="7">
        <v>500</v>
      </c>
      <c r="H3" s="5">
        <v>7</v>
      </c>
      <c r="I3" s="7">
        <f t="shared" si="0"/>
        <v>3500</v>
      </c>
      <c r="J3" s="5" t="s">
        <v>47</v>
      </c>
      <c r="K3" s="18">
        <f t="shared" ca="1" si="1"/>
        <v>630</v>
      </c>
    </row>
    <row r="4" spans="1:11" x14ac:dyDescent="0.3">
      <c r="A4" s="5">
        <v>1004</v>
      </c>
      <c r="B4" s="6">
        <v>46181</v>
      </c>
      <c r="C4" s="5" t="s">
        <v>44</v>
      </c>
      <c r="D4" s="5" t="s">
        <v>45</v>
      </c>
      <c r="E4" s="5" t="s">
        <v>41</v>
      </c>
      <c r="F4" s="5" t="s">
        <v>42</v>
      </c>
      <c r="G4" s="7">
        <v>7000</v>
      </c>
      <c r="H4" s="5">
        <v>7</v>
      </c>
      <c r="I4" s="7">
        <f t="shared" si="0"/>
        <v>49000</v>
      </c>
      <c r="J4" s="5" t="s">
        <v>48</v>
      </c>
      <c r="K4" s="18">
        <f t="shared" ca="1" si="1"/>
        <v>8820</v>
      </c>
    </row>
    <row r="5" spans="1:11" x14ac:dyDescent="0.3">
      <c r="A5" s="5">
        <v>1005</v>
      </c>
      <c r="B5" s="6">
        <v>46206</v>
      </c>
      <c r="C5" s="5" t="s">
        <v>49</v>
      </c>
      <c r="D5" s="5" t="s">
        <v>45</v>
      </c>
      <c r="E5" s="5" t="s">
        <v>50</v>
      </c>
      <c r="F5" s="5" t="s">
        <v>51</v>
      </c>
      <c r="G5" s="7">
        <v>150</v>
      </c>
      <c r="H5" s="5">
        <v>8</v>
      </c>
      <c r="I5" s="7">
        <f t="shared" si="0"/>
        <v>1200</v>
      </c>
      <c r="J5" s="5" t="s">
        <v>52</v>
      </c>
      <c r="K5" s="18">
        <f t="shared" ca="1" si="1"/>
        <v>216</v>
      </c>
    </row>
    <row r="6" spans="1:11" x14ac:dyDescent="0.3">
      <c r="A6" s="5">
        <v>1006</v>
      </c>
      <c r="B6" s="6">
        <v>46098</v>
      </c>
      <c r="C6" s="5" t="s">
        <v>44</v>
      </c>
      <c r="D6" s="5" t="s">
        <v>45</v>
      </c>
      <c r="E6" s="5" t="s">
        <v>53</v>
      </c>
      <c r="F6" s="5" t="s">
        <v>39</v>
      </c>
      <c r="G6" s="7">
        <v>800</v>
      </c>
      <c r="H6" s="5">
        <v>14</v>
      </c>
      <c r="I6" s="7">
        <f t="shared" si="0"/>
        <v>11200</v>
      </c>
      <c r="J6" s="5" t="s">
        <v>54</v>
      </c>
      <c r="K6" s="18">
        <f t="shared" ca="1" si="1"/>
        <v>2016</v>
      </c>
    </row>
    <row r="7" spans="1:11" x14ac:dyDescent="0.3">
      <c r="A7" s="5">
        <v>1007</v>
      </c>
      <c r="B7" s="6">
        <v>46066</v>
      </c>
      <c r="C7" s="5" t="s">
        <v>55</v>
      </c>
      <c r="D7" s="5" t="s">
        <v>56</v>
      </c>
      <c r="E7" s="5" t="s">
        <v>57</v>
      </c>
      <c r="F7" s="5" t="s">
        <v>51</v>
      </c>
      <c r="G7" s="7">
        <v>120</v>
      </c>
      <c r="H7" s="5">
        <v>4</v>
      </c>
      <c r="I7" s="7">
        <f t="shared" si="0"/>
        <v>480</v>
      </c>
      <c r="J7" s="5" t="s">
        <v>58</v>
      </c>
      <c r="K7" s="18">
        <f t="shared" ca="1" si="1"/>
        <v>86.399999999999991</v>
      </c>
    </row>
    <row r="8" spans="1:11" x14ac:dyDescent="0.3">
      <c r="A8" s="5">
        <v>1008</v>
      </c>
      <c r="B8" s="6">
        <v>46051</v>
      </c>
      <c r="C8" s="5" t="s">
        <v>59</v>
      </c>
      <c r="D8" s="5" t="s">
        <v>37</v>
      </c>
      <c r="E8" s="5" t="s">
        <v>57</v>
      </c>
      <c r="F8" s="5" t="s">
        <v>51</v>
      </c>
      <c r="G8" s="7">
        <v>120</v>
      </c>
      <c r="H8" s="5">
        <v>20</v>
      </c>
      <c r="I8" s="7">
        <f t="shared" si="0"/>
        <v>2400</v>
      </c>
      <c r="J8" s="5" t="s">
        <v>60</v>
      </c>
      <c r="K8" s="18">
        <f t="shared" ca="1" si="1"/>
        <v>432</v>
      </c>
    </row>
    <row r="9" spans="1:11" x14ac:dyDescent="0.3">
      <c r="A9" s="5">
        <v>1009</v>
      </c>
      <c r="B9" s="6">
        <v>46213</v>
      </c>
      <c r="C9" s="5" t="s">
        <v>61</v>
      </c>
      <c r="D9" s="5" t="s">
        <v>56</v>
      </c>
      <c r="E9" s="5" t="s">
        <v>41</v>
      </c>
      <c r="F9" s="5" t="s">
        <v>42</v>
      </c>
      <c r="G9" s="7">
        <v>7000</v>
      </c>
      <c r="H9" s="5">
        <v>4</v>
      </c>
      <c r="I9" s="7">
        <f t="shared" si="0"/>
        <v>28000</v>
      </c>
      <c r="J9" s="5" t="s">
        <v>62</v>
      </c>
      <c r="K9" s="18">
        <f t="shared" ca="1" si="1"/>
        <v>5040</v>
      </c>
    </row>
    <row r="10" spans="1:11" x14ac:dyDescent="0.3">
      <c r="A10" s="5">
        <v>1010</v>
      </c>
      <c r="B10" s="6">
        <v>46168</v>
      </c>
      <c r="C10" s="5" t="s">
        <v>63</v>
      </c>
      <c r="D10" s="5" t="s">
        <v>45</v>
      </c>
      <c r="E10" s="5" t="s">
        <v>57</v>
      </c>
      <c r="F10" s="5" t="s">
        <v>51</v>
      </c>
      <c r="G10" s="7">
        <v>120</v>
      </c>
      <c r="H10" s="5">
        <v>19</v>
      </c>
      <c r="I10" s="7">
        <f t="shared" si="0"/>
        <v>2280</v>
      </c>
      <c r="J10" s="5" t="s">
        <v>64</v>
      </c>
      <c r="K10" s="18">
        <f t="shared" ca="1" si="1"/>
        <v>410.4</v>
      </c>
    </row>
    <row r="11" spans="1:11" x14ac:dyDescent="0.3">
      <c r="A11" s="5">
        <v>1011</v>
      </c>
      <c r="B11" s="6">
        <v>46044</v>
      </c>
      <c r="C11" s="5" t="s">
        <v>44</v>
      </c>
      <c r="D11" s="5" t="s">
        <v>45</v>
      </c>
      <c r="E11" s="5" t="s">
        <v>65</v>
      </c>
      <c r="F11" s="5" t="s">
        <v>39</v>
      </c>
      <c r="G11" s="7">
        <v>9000</v>
      </c>
      <c r="H11" s="5">
        <v>10</v>
      </c>
      <c r="I11" s="7">
        <f t="shared" si="0"/>
        <v>90000</v>
      </c>
      <c r="J11" s="5" t="s">
        <v>66</v>
      </c>
      <c r="K11" s="18">
        <f t="shared" ca="1" si="1"/>
        <v>16200</v>
      </c>
    </row>
    <row r="12" spans="1:11" x14ac:dyDescent="0.3">
      <c r="A12" s="5">
        <v>1012</v>
      </c>
      <c r="B12" s="6">
        <v>46248</v>
      </c>
      <c r="C12" s="5" t="s">
        <v>36</v>
      </c>
      <c r="D12" s="5" t="s">
        <v>37</v>
      </c>
      <c r="E12" s="5" t="s">
        <v>50</v>
      </c>
      <c r="F12" s="5" t="s">
        <v>51</v>
      </c>
      <c r="G12" s="7">
        <v>150</v>
      </c>
      <c r="H12" s="5">
        <v>9</v>
      </c>
      <c r="I12" s="7">
        <f t="shared" si="0"/>
        <v>1350</v>
      </c>
      <c r="J12" s="5" t="s">
        <v>67</v>
      </c>
      <c r="K12" s="18">
        <f t="shared" ca="1" si="1"/>
        <v>243</v>
      </c>
    </row>
    <row r="13" spans="1:11" x14ac:dyDescent="0.3">
      <c r="A13" s="5">
        <v>1013</v>
      </c>
      <c r="B13" s="6">
        <v>46240</v>
      </c>
      <c r="C13" s="5" t="s">
        <v>59</v>
      </c>
      <c r="D13" s="5" t="s">
        <v>37</v>
      </c>
      <c r="E13" s="5" t="s">
        <v>53</v>
      </c>
      <c r="F13" s="5" t="s">
        <v>39</v>
      </c>
      <c r="G13" s="7">
        <v>800</v>
      </c>
      <c r="H13" s="5">
        <v>12</v>
      </c>
      <c r="I13" s="7">
        <f t="shared" si="0"/>
        <v>9600</v>
      </c>
      <c r="J13" s="5" t="s">
        <v>68</v>
      </c>
      <c r="K13" s="18">
        <f t="shared" ca="1" si="1"/>
        <v>1728</v>
      </c>
    </row>
    <row r="14" spans="1:11" x14ac:dyDescent="0.3">
      <c r="A14" s="5">
        <v>1014</v>
      </c>
      <c r="B14" s="6">
        <v>46198</v>
      </c>
      <c r="C14" s="5" t="s">
        <v>63</v>
      </c>
      <c r="D14" s="5" t="s">
        <v>45</v>
      </c>
      <c r="E14" s="5" t="s">
        <v>46</v>
      </c>
      <c r="F14" s="5" t="s">
        <v>39</v>
      </c>
      <c r="G14" s="7">
        <v>500</v>
      </c>
      <c r="H14" s="5">
        <v>20</v>
      </c>
      <c r="I14" s="7">
        <f t="shared" si="0"/>
        <v>10000</v>
      </c>
      <c r="J14" s="5" t="s">
        <v>69</v>
      </c>
      <c r="K14" s="18">
        <f t="shared" ca="1" si="1"/>
        <v>1800</v>
      </c>
    </row>
    <row r="15" spans="1:11" x14ac:dyDescent="0.3">
      <c r="A15" s="5">
        <v>1015</v>
      </c>
      <c r="B15" s="6">
        <v>46163</v>
      </c>
      <c r="C15" s="5" t="s">
        <v>55</v>
      </c>
      <c r="D15" s="5" t="s">
        <v>56</v>
      </c>
      <c r="E15" s="5" t="s">
        <v>53</v>
      </c>
      <c r="F15" s="5" t="s">
        <v>39</v>
      </c>
      <c r="G15" s="7">
        <v>800</v>
      </c>
      <c r="H15" s="5">
        <v>15</v>
      </c>
      <c r="I15" s="7">
        <f t="shared" si="0"/>
        <v>12000</v>
      </c>
      <c r="J15" s="5" t="s">
        <v>70</v>
      </c>
      <c r="K15" s="18">
        <f t="shared" ca="1" si="1"/>
        <v>2160</v>
      </c>
    </row>
    <row r="16" spans="1:11" x14ac:dyDescent="0.3">
      <c r="A16" s="5">
        <v>1016</v>
      </c>
      <c r="B16" s="6">
        <v>46190</v>
      </c>
      <c r="C16" s="5" t="s">
        <v>49</v>
      </c>
      <c r="D16" s="5" t="s">
        <v>45</v>
      </c>
      <c r="E16" s="5" t="s">
        <v>65</v>
      </c>
      <c r="F16" s="5" t="s">
        <v>39</v>
      </c>
      <c r="G16" s="7">
        <v>9000</v>
      </c>
      <c r="H16" s="5">
        <v>11</v>
      </c>
      <c r="I16" s="7">
        <f t="shared" si="0"/>
        <v>99000</v>
      </c>
      <c r="J16" s="5" t="s">
        <v>71</v>
      </c>
      <c r="K16" s="18">
        <f t="shared" ca="1" si="1"/>
        <v>17820</v>
      </c>
    </row>
    <row r="17" spans="1:11" x14ac:dyDescent="0.3">
      <c r="A17" s="5">
        <v>1017</v>
      </c>
      <c r="B17" s="6">
        <v>46085</v>
      </c>
      <c r="C17" s="5" t="s">
        <v>44</v>
      </c>
      <c r="D17" s="5" t="s">
        <v>45</v>
      </c>
      <c r="E17" s="5" t="s">
        <v>57</v>
      </c>
      <c r="F17" s="5" t="s">
        <v>51</v>
      </c>
      <c r="G17" s="7">
        <v>120</v>
      </c>
      <c r="H17" s="5">
        <v>13</v>
      </c>
      <c r="I17" s="7">
        <f t="shared" si="0"/>
        <v>1560</v>
      </c>
      <c r="J17" s="5" t="s">
        <v>72</v>
      </c>
      <c r="K17" s="18">
        <f t="shared" ca="1" si="1"/>
        <v>280.8</v>
      </c>
    </row>
    <row r="18" spans="1:11" x14ac:dyDescent="0.3">
      <c r="A18" s="5">
        <v>1018</v>
      </c>
      <c r="B18" s="6">
        <v>46081</v>
      </c>
      <c r="C18" s="5" t="s">
        <v>73</v>
      </c>
      <c r="D18" s="5" t="s">
        <v>37</v>
      </c>
      <c r="E18" s="5" t="s">
        <v>57</v>
      </c>
      <c r="F18" s="5" t="s">
        <v>51</v>
      </c>
      <c r="G18" s="7">
        <v>120</v>
      </c>
      <c r="H18" s="5">
        <v>7</v>
      </c>
      <c r="I18" s="7">
        <f t="shared" si="0"/>
        <v>840</v>
      </c>
      <c r="J18" s="5" t="s">
        <v>74</v>
      </c>
      <c r="K18" s="18">
        <f t="shared" ca="1" si="1"/>
        <v>151.19999999999999</v>
      </c>
    </row>
    <row r="19" spans="1:11" x14ac:dyDescent="0.3">
      <c r="A19" s="5">
        <v>1019</v>
      </c>
      <c r="B19" s="6">
        <v>46128</v>
      </c>
      <c r="C19" s="5" t="s">
        <v>61</v>
      </c>
      <c r="D19" s="5" t="s">
        <v>56</v>
      </c>
      <c r="E19" s="5" t="s">
        <v>53</v>
      </c>
      <c r="F19" s="5" t="s">
        <v>39</v>
      </c>
      <c r="G19" s="7">
        <v>800</v>
      </c>
      <c r="H19" s="5">
        <v>9</v>
      </c>
      <c r="I19" s="7">
        <f t="shared" si="0"/>
        <v>7200</v>
      </c>
      <c r="J19" s="5" t="s">
        <v>75</v>
      </c>
      <c r="K19" s="18">
        <f t="shared" ca="1" si="1"/>
        <v>1296</v>
      </c>
    </row>
    <row r="20" spans="1:11" x14ac:dyDescent="0.3">
      <c r="A20" s="5">
        <v>1020</v>
      </c>
      <c r="B20" s="6">
        <v>46217</v>
      </c>
      <c r="C20" s="5" t="s">
        <v>49</v>
      </c>
      <c r="D20" s="5" t="s">
        <v>45</v>
      </c>
      <c r="E20" s="5" t="s">
        <v>41</v>
      </c>
      <c r="F20" s="5" t="s">
        <v>42</v>
      </c>
      <c r="G20" s="7">
        <v>7000</v>
      </c>
      <c r="H20" s="5">
        <v>9</v>
      </c>
      <c r="I20" s="7">
        <f t="shared" si="0"/>
        <v>63000</v>
      </c>
      <c r="J20" s="5" t="s">
        <v>76</v>
      </c>
      <c r="K20" s="18">
        <f t="shared" ca="1" si="1"/>
        <v>11340</v>
      </c>
    </row>
    <row r="21" spans="1:11" x14ac:dyDescent="0.3">
      <c r="A21" s="5">
        <v>1021</v>
      </c>
      <c r="B21" s="6">
        <v>46136</v>
      </c>
      <c r="C21" s="5" t="s">
        <v>73</v>
      </c>
      <c r="D21" s="5" t="s">
        <v>37</v>
      </c>
      <c r="E21" s="5" t="s">
        <v>50</v>
      </c>
      <c r="F21" s="5" t="s">
        <v>51</v>
      </c>
      <c r="G21" s="7">
        <v>150</v>
      </c>
      <c r="H21" s="5">
        <v>12</v>
      </c>
      <c r="I21" s="7">
        <f t="shared" si="0"/>
        <v>1800</v>
      </c>
      <c r="J21" s="5" t="s">
        <v>77</v>
      </c>
      <c r="K21" s="18">
        <f t="shared" ca="1" si="1"/>
        <v>324</v>
      </c>
    </row>
    <row r="22" spans="1:11" x14ac:dyDescent="0.3">
      <c r="A22" s="5">
        <v>1022</v>
      </c>
      <c r="B22" s="6">
        <v>46157</v>
      </c>
      <c r="C22" s="5" t="s">
        <v>61</v>
      </c>
      <c r="D22" s="5" t="s">
        <v>56</v>
      </c>
      <c r="E22" s="5" t="s">
        <v>46</v>
      </c>
      <c r="F22" s="5" t="s">
        <v>39</v>
      </c>
      <c r="G22" s="7">
        <v>500</v>
      </c>
      <c r="H22" s="5">
        <v>2</v>
      </c>
      <c r="I22" s="7">
        <f t="shared" si="0"/>
        <v>1000</v>
      </c>
      <c r="J22" s="5" t="s">
        <v>78</v>
      </c>
      <c r="K22" s="18">
        <f t="shared" ca="1" si="1"/>
        <v>180</v>
      </c>
    </row>
    <row r="23" spans="1:11" x14ac:dyDescent="0.3">
      <c r="A23" s="5">
        <v>1023</v>
      </c>
      <c r="B23" s="6">
        <v>46187</v>
      </c>
      <c r="C23" s="5" t="s">
        <v>79</v>
      </c>
      <c r="D23" s="5" t="s">
        <v>80</v>
      </c>
      <c r="E23" s="5" t="s">
        <v>50</v>
      </c>
      <c r="F23" s="5" t="s">
        <v>51</v>
      </c>
      <c r="G23" s="7">
        <v>150</v>
      </c>
      <c r="H23" s="5">
        <v>20</v>
      </c>
      <c r="I23" s="7">
        <f t="shared" si="0"/>
        <v>3000</v>
      </c>
      <c r="J23" s="5" t="s">
        <v>81</v>
      </c>
      <c r="K23" s="18">
        <f t="shared" ca="1" si="1"/>
        <v>540</v>
      </c>
    </row>
    <row r="24" spans="1:11" x14ac:dyDescent="0.3">
      <c r="A24" s="5">
        <v>1024</v>
      </c>
      <c r="B24" s="6">
        <v>46124</v>
      </c>
      <c r="C24" s="5" t="s">
        <v>73</v>
      </c>
      <c r="D24" s="5" t="s">
        <v>37</v>
      </c>
      <c r="E24" s="5" t="s">
        <v>82</v>
      </c>
      <c r="F24" s="5" t="s">
        <v>42</v>
      </c>
      <c r="G24" s="7">
        <v>3500</v>
      </c>
      <c r="H24" s="5">
        <v>17</v>
      </c>
      <c r="I24" s="7">
        <f t="shared" si="0"/>
        <v>59500</v>
      </c>
      <c r="J24" s="5" t="s">
        <v>83</v>
      </c>
      <c r="K24" s="18">
        <f t="shared" ca="1" si="1"/>
        <v>10710</v>
      </c>
    </row>
    <row r="25" spans="1:11" x14ac:dyDescent="0.3">
      <c r="A25" s="5">
        <v>1025</v>
      </c>
      <c r="B25" s="6">
        <v>46247</v>
      </c>
      <c r="C25" s="5" t="s">
        <v>44</v>
      </c>
      <c r="D25" s="5" t="s">
        <v>45</v>
      </c>
      <c r="E25" s="5" t="s">
        <v>46</v>
      </c>
      <c r="F25" s="5" t="s">
        <v>39</v>
      </c>
      <c r="G25" s="7">
        <v>500</v>
      </c>
      <c r="H25" s="5">
        <v>18</v>
      </c>
      <c r="I25" s="7">
        <f t="shared" si="0"/>
        <v>9000</v>
      </c>
      <c r="J25" s="5" t="s">
        <v>84</v>
      </c>
      <c r="K25" s="18">
        <f t="shared" ca="1" si="1"/>
        <v>1620</v>
      </c>
    </row>
    <row r="26" spans="1:11" x14ac:dyDescent="0.3">
      <c r="A26" s="5">
        <v>1026</v>
      </c>
      <c r="B26" s="6">
        <v>46223</v>
      </c>
      <c r="C26" s="5" t="s">
        <v>59</v>
      </c>
      <c r="D26" s="5" t="s">
        <v>37</v>
      </c>
      <c r="E26" s="5" t="s">
        <v>46</v>
      </c>
      <c r="F26" s="5" t="s">
        <v>39</v>
      </c>
      <c r="G26" s="7">
        <v>500</v>
      </c>
      <c r="H26" s="5">
        <v>10</v>
      </c>
      <c r="I26" s="7">
        <f t="shared" si="0"/>
        <v>5000</v>
      </c>
      <c r="J26" s="5" t="s">
        <v>85</v>
      </c>
      <c r="K26" s="18">
        <f t="shared" ca="1" si="1"/>
        <v>900</v>
      </c>
    </row>
    <row r="27" spans="1:11" x14ac:dyDescent="0.3">
      <c r="A27" s="5">
        <v>1027</v>
      </c>
      <c r="B27" s="6">
        <v>46143</v>
      </c>
      <c r="C27" s="5" t="s">
        <v>44</v>
      </c>
      <c r="D27" s="5" t="s">
        <v>45</v>
      </c>
      <c r="E27" s="5" t="s">
        <v>86</v>
      </c>
      <c r="F27" s="5" t="s">
        <v>51</v>
      </c>
      <c r="G27" s="7">
        <v>50</v>
      </c>
      <c r="H27" s="5">
        <v>17</v>
      </c>
      <c r="I27" s="7">
        <f t="shared" si="0"/>
        <v>850</v>
      </c>
      <c r="J27" s="5" t="s">
        <v>87</v>
      </c>
      <c r="K27" s="18">
        <f t="shared" ca="1" si="1"/>
        <v>153</v>
      </c>
    </row>
    <row r="28" spans="1:11" x14ac:dyDescent="0.3">
      <c r="A28" s="5">
        <v>1028</v>
      </c>
      <c r="B28" s="6">
        <v>46156</v>
      </c>
      <c r="C28" s="5" t="s">
        <v>36</v>
      </c>
      <c r="D28" s="5" t="s">
        <v>37</v>
      </c>
      <c r="E28" s="5" t="s">
        <v>86</v>
      </c>
      <c r="F28" s="5" t="s">
        <v>51</v>
      </c>
      <c r="G28" s="7">
        <v>50</v>
      </c>
      <c r="H28" s="5">
        <v>17</v>
      </c>
      <c r="I28" s="7">
        <f t="shared" si="0"/>
        <v>850</v>
      </c>
      <c r="J28" s="5" t="s">
        <v>88</v>
      </c>
      <c r="K28" s="18">
        <f t="shared" ca="1" si="1"/>
        <v>153</v>
      </c>
    </row>
    <row r="29" spans="1:11" x14ac:dyDescent="0.3">
      <c r="A29" s="5">
        <v>1029</v>
      </c>
      <c r="B29" s="6">
        <v>46066</v>
      </c>
      <c r="C29" s="5" t="s">
        <v>59</v>
      </c>
      <c r="D29" s="5" t="s">
        <v>37</v>
      </c>
      <c r="E29" s="5" t="s">
        <v>53</v>
      </c>
      <c r="F29" s="5" t="s">
        <v>39</v>
      </c>
      <c r="G29" s="7">
        <v>800</v>
      </c>
      <c r="H29" s="5">
        <v>18</v>
      </c>
      <c r="I29" s="7">
        <f t="shared" si="0"/>
        <v>14400</v>
      </c>
      <c r="J29" s="5" t="s">
        <v>89</v>
      </c>
      <c r="K29" s="18">
        <f t="shared" ca="1" si="1"/>
        <v>2592</v>
      </c>
    </row>
    <row r="30" spans="1:11" x14ac:dyDescent="0.3">
      <c r="A30" s="5">
        <v>1030</v>
      </c>
      <c r="B30" s="6">
        <v>46180</v>
      </c>
      <c r="C30" s="5" t="s">
        <v>59</v>
      </c>
      <c r="D30" s="5" t="s">
        <v>37</v>
      </c>
      <c r="E30" s="5" t="s">
        <v>82</v>
      </c>
      <c r="F30" s="5" t="s">
        <v>42</v>
      </c>
      <c r="G30" s="7">
        <v>3500</v>
      </c>
      <c r="H30" s="5">
        <v>1</v>
      </c>
      <c r="I30" s="7">
        <f t="shared" si="0"/>
        <v>3500</v>
      </c>
      <c r="J30" s="5" t="s">
        <v>90</v>
      </c>
      <c r="K30" s="18">
        <f t="shared" ca="1" si="1"/>
        <v>630</v>
      </c>
    </row>
    <row r="31" spans="1:11" x14ac:dyDescent="0.3">
      <c r="A31" s="5">
        <v>1031</v>
      </c>
      <c r="B31" s="6">
        <v>46251</v>
      </c>
      <c r="C31" s="5" t="s">
        <v>63</v>
      </c>
      <c r="D31" s="5" t="s">
        <v>45</v>
      </c>
      <c r="E31" s="5" t="s">
        <v>65</v>
      </c>
      <c r="F31" s="5" t="s">
        <v>39</v>
      </c>
      <c r="G31" s="7">
        <v>9000</v>
      </c>
      <c r="H31" s="5">
        <v>2</v>
      </c>
      <c r="I31" s="7">
        <f t="shared" si="0"/>
        <v>18000</v>
      </c>
      <c r="J31" s="5" t="s">
        <v>91</v>
      </c>
      <c r="K31" s="18">
        <f t="shared" ca="1" si="1"/>
        <v>3240</v>
      </c>
    </row>
    <row r="32" spans="1:11" x14ac:dyDescent="0.3">
      <c r="A32" s="5">
        <v>1032</v>
      </c>
      <c r="B32" s="6">
        <v>46047</v>
      </c>
      <c r="C32" s="5" t="s">
        <v>36</v>
      </c>
      <c r="D32" s="5" t="s">
        <v>37</v>
      </c>
      <c r="E32" s="5" t="s">
        <v>82</v>
      </c>
      <c r="F32" s="5" t="s">
        <v>42</v>
      </c>
      <c r="G32" s="7">
        <v>3500</v>
      </c>
      <c r="H32" s="5">
        <v>3</v>
      </c>
      <c r="I32" s="7">
        <f t="shared" si="0"/>
        <v>10500</v>
      </c>
      <c r="J32" s="5" t="s">
        <v>92</v>
      </c>
      <c r="K32" s="18">
        <f t="shared" ca="1" si="1"/>
        <v>1890</v>
      </c>
    </row>
    <row r="33" spans="1:11" x14ac:dyDescent="0.3">
      <c r="A33" s="5">
        <v>1033</v>
      </c>
      <c r="B33" s="6">
        <v>46223</v>
      </c>
      <c r="C33" s="5" t="s">
        <v>79</v>
      </c>
      <c r="D33" s="5" t="s">
        <v>80</v>
      </c>
      <c r="E33" s="5" t="s">
        <v>53</v>
      </c>
      <c r="F33" s="5" t="s">
        <v>39</v>
      </c>
      <c r="G33" s="7">
        <v>800</v>
      </c>
      <c r="H33" s="5">
        <v>16</v>
      </c>
      <c r="I33" s="7">
        <f t="shared" si="0"/>
        <v>12800</v>
      </c>
      <c r="J33" s="5" t="s">
        <v>93</v>
      </c>
      <c r="K33" s="18">
        <f t="shared" ca="1" si="1"/>
        <v>2304</v>
      </c>
    </row>
    <row r="34" spans="1:11" x14ac:dyDescent="0.3">
      <c r="A34" s="5">
        <v>1034</v>
      </c>
      <c r="B34" s="6">
        <v>46094</v>
      </c>
      <c r="C34" s="5" t="s">
        <v>49</v>
      </c>
      <c r="D34" s="5" t="s">
        <v>45</v>
      </c>
      <c r="E34" s="5" t="s">
        <v>50</v>
      </c>
      <c r="F34" s="5" t="s">
        <v>51</v>
      </c>
      <c r="G34" s="7">
        <v>150</v>
      </c>
      <c r="H34" s="5">
        <v>7</v>
      </c>
      <c r="I34" s="7">
        <f t="shared" si="0"/>
        <v>1050</v>
      </c>
      <c r="J34" s="5" t="s">
        <v>94</v>
      </c>
      <c r="K34" s="18">
        <f t="shared" ca="1" si="1"/>
        <v>189</v>
      </c>
    </row>
    <row r="35" spans="1:11" x14ac:dyDescent="0.3">
      <c r="A35" s="5">
        <v>1035</v>
      </c>
      <c r="B35" s="6">
        <v>46203</v>
      </c>
      <c r="C35" s="5" t="s">
        <v>55</v>
      </c>
      <c r="D35" s="5" t="s">
        <v>56</v>
      </c>
      <c r="E35" s="5" t="s">
        <v>86</v>
      </c>
      <c r="F35" s="5" t="s">
        <v>51</v>
      </c>
      <c r="G35" s="7">
        <v>50</v>
      </c>
      <c r="H35" s="5">
        <v>13</v>
      </c>
      <c r="I35" s="7">
        <f t="shared" si="0"/>
        <v>650</v>
      </c>
      <c r="J35" s="5" t="s">
        <v>95</v>
      </c>
      <c r="K35" s="18">
        <f t="shared" ca="1" si="1"/>
        <v>117</v>
      </c>
    </row>
    <row r="36" spans="1:11" x14ac:dyDescent="0.3">
      <c r="A36" s="5">
        <v>1036</v>
      </c>
      <c r="B36" s="6">
        <v>46122</v>
      </c>
      <c r="C36" s="5" t="s">
        <v>61</v>
      </c>
      <c r="D36" s="5" t="s">
        <v>56</v>
      </c>
      <c r="E36" s="5" t="s">
        <v>41</v>
      </c>
      <c r="F36" s="5" t="s">
        <v>42</v>
      </c>
      <c r="G36" s="7">
        <v>7000</v>
      </c>
      <c r="H36" s="5">
        <v>15</v>
      </c>
      <c r="I36" s="7">
        <f t="shared" si="0"/>
        <v>105000</v>
      </c>
      <c r="J36" s="5" t="s">
        <v>96</v>
      </c>
      <c r="K36" s="18">
        <f t="shared" ca="1" si="1"/>
        <v>18900</v>
      </c>
    </row>
    <row r="37" spans="1:11" x14ac:dyDescent="0.3">
      <c r="A37" s="5">
        <v>1037</v>
      </c>
      <c r="B37" s="6">
        <v>46084</v>
      </c>
      <c r="C37" s="5" t="s">
        <v>36</v>
      </c>
      <c r="D37" s="5" t="s">
        <v>37</v>
      </c>
      <c r="E37" s="5" t="s">
        <v>57</v>
      </c>
      <c r="F37" s="5" t="s">
        <v>51</v>
      </c>
      <c r="G37" s="7">
        <v>120</v>
      </c>
      <c r="H37" s="5">
        <v>1</v>
      </c>
      <c r="I37" s="7">
        <f t="shared" si="0"/>
        <v>120</v>
      </c>
      <c r="J37" s="5" t="s">
        <v>97</v>
      </c>
      <c r="K37" s="18">
        <f t="shared" ca="1" si="1"/>
        <v>21.599999999999998</v>
      </c>
    </row>
    <row r="38" spans="1:11" x14ac:dyDescent="0.3">
      <c r="A38" s="5">
        <v>1038</v>
      </c>
      <c r="B38" s="6">
        <v>46085</v>
      </c>
      <c r="C38" s="5" t="s">
        <v>73</v>
      </c>
      <c r="D38" s="5" t="s">
        <v>37</v>
      </c>
      <c r="E38" s="5" t="s">
        <v>65</v>
      </c>
      <c r="F38" s="5" t="s">
        <v>39</v>
      </c>
      <c r="G38" s="7">
        <v>9000</v>
      </c>
      <c r="H38" s="5">
        <v>1</v>
      </c>
      <c r="I38" s="7">
        <f t="shared" si="0"/>
        <v>9000</v>
      </c>
      <c r="J38" s="5" t="s">
        <v>98</v>
      </c>
      <c r="K38" s="18">
        <f t="shared" ca="1" si="1"/>
        <v>1620</v>
      </c>
    </row>
    <row r="39" spans="1:11" x14ac:dyDescent="0.3">
      <c r="A39" s="5">
        <v>1039</v>
      </c>
      <c r="B39" s="6">
        <v>46188</v>
      </c>
      <c r="C39" s="5" t="s">
        <v>44</v>
      </c>
      <c r="D39" s="5" t="s">
        <v>45</v>
      </c>
      <c r="E39" s="5" t="s">
        <v>65</v>
      </c>
      <c r="F39" s="5" t="s">
        <v>39</v>
      </c>
      <c r="G39" s="7">
        <v>9000</v>
      </c>
      <c r="H39" s="5">
        <v>3</v>
      </c>
      <c r="I39" s="7">
        <f t="shared" si="0"/>
        <v>27000</v>
      </c>
      <c r="J39" s="5" t="s">
        <v>99</v>
      </c>
      <c r="K39" s="18">
        <f t="shared" ca="1" si="1"/>
        <v>4860</v>
      </c>
    </row>
    <row r="40" spans="1:11" x14ac:dyDescent="0.3">
      <c r="A40" s="5">
        <v>1040</v>
      </c>
      <c r="B40" s="6">
        <v>46045</v>
      </c>
      <c r="C40" s="5" t="s">
        <v>49</v>
      </c>
      <c r="D40" s="5" t="s">
        <v>45</v>
      </c>
      <c r="E40" s="5" t="s">
        <v>65</v>
      </c>
      <c r="F40" s="5" t="s">
        <v>39</v>
      </c>
      <c r="G40" s="7">
        <v>9000</v>
      </c>
      <c r="H40" s="5">
        <v>9</v>
      </c>
      <c r="I40" s="7">
        <f t="shared" si="0"/>
        <v>81000</v>
      </c>
      <c r="J40" s="5" t="s">
        <v>100</v>
      </c>
      <c r="K40" s="18">
        <f t="shared" ca="1" si="1"/>
        <v>14580</v>
      </c>
    </row>
    <row r="41" spans="1:11" x14ac:dyDescent="0.3">
      <c r="A41" s="5">
        <v>1041</v>
      </c>
      <c r="B41" s="6">
        <v>46081</v>
      </c>
      <c r="C41" s="5" t="s">
        <v>49</v>
      </c>
      <c r="D41" s="5" t="s">
        <v>45</v>
      </c>
      <c r="E41" s="5" t="s">
        <v>53</v>
      </c>
      <c r="F41" s="5" t="s">
        <v>39</v>
      </c>
      <c r="G41" s="7">
        <v>800</v>
      </c>
      <c r="H41" s="5">
        <v>19</v>
      </c>
      <c r="I41" s="7">
        <f t="shared" si="0"/>
        <v>15200</v>
      </c>
      <c r="J41" s="5" t="s">
        <v>101</v>
      </c>
      <c r="K41" s="18">
        <f t="shared" ca="1" si="1"/>
        <v>2736</v>
      </c>
    </row>
    <row r="42" spans="1:11" x14ac:dyDescent="0.3">
      <c r="A42" s="5">
        <v>1042</v>
      </c>
      <c r="B42" s="6">
        <v>46089</v>
      </c>
      <c r="C42" s="5" t="s">
        <v>61</v>
      </c>
      <c r="D42" s="5" t="s">
        <v>56</v>
      </c>
      <c r="E42" s="5" t="s">
        <v>50</v>
      </c>
      <c r="F42" s="5" t="s">
        <v>51</v>
      </c>
      <c r="G42" s="7">
        <v>150</v>
      </c>
      <c r="H42" s="5">
        <v>7</v>
      </c>
      <c r="I42" s="7">
        <f t="shared" si="0"/>
        <v>1050</v>
      </c>
      <c r="J42" s="5" t="s">
        <v>102</v>
      </c>
      <c r="K42" s="18">
        <f t="shared" ca="1" si="1"/>
        <v>189</v>
      </c>
    </row>
    <row r="43" spans="1:11" x14ac:dyDescent="0.3">
      <c r="A43" s="5">
        <v>1043</v>
      </c>
      <c r="B43" s="6">
        <v>46195</v>
      </c>
      <c r="C43" s="5" t="s">
        <v>103</v>
      </c>
      <c r="D43" s="5" t="s">
        <v>80</v>
      </c>
      <c r="E43" s="5" t="s">
        <v>57</v>
      </c>
      <c r="F43" s="5" t="s">
        <v>51</v>
      </c>
      <c r="G43" s="7">
        <v>120</v>
      </c>
      <c r="H43" s="5">
        <v>14</v>
      </c>
      <c r="I43" s="7">
        <f t="shared" si="0"/>
        <v>1680</v>
      </c>
      <c r="J43" s="5" t="s">
        <v>104</v>
      </c>
      <c r="K43" s="18">
        <f t="shared" ca="1" si="1"/>
        <v>302.39999999999998</v>
      </c>
    </row>
    <row r="44" spans="1:11" x14ac:dyDescent="0.3">
      <c r="A44" s="5">
        <v>1044</v>
      </c>
      <c r="B44" s="6">
        <v>46248</v>
      </c>
      <c r="C44" s="5" t="s">
        <v>44</v>
      </c>
      <c r="D44" s="5" t="s">
        <v>45</v>
      </c>
      <c r="E44" s="5" t="s">
        <v>46</v>
      </c>
      <c r="F44" s="5" t="s">
        <v>39</v>
      </c>
      <c r="G44" s="7">
        <v>500</v>
      </c>
      <c r="H44" s="5">
        <v>2</v>
      </c>
      <c r="I44" s="7">
        <f t="shared" si="0"/>
        <v>1000</v>
      </c>
      <c r="J44" s="5" t="s">
        <v>105</v>
      </c>
      <c r="K44" s="18">
        <f t="shared" ca="1" si="1"/>
        <v>180</v>
      </c>
    </row>
    <row r="45" spans="1:11" x14ac:dyDescent="0.3">
      <c r="A45" s="5">
        <v>1045</v>
      </c>
      <c r="B45" s="6">
        <v>46113</v>
      </c>
      <c r="C45" s="5" t="s">
        <v>36</v>
      </c>
      <c r="D45" s="5" t="s">
        <v>37</v>
      </c>
      <c r="E45" s="5" t="s">
        <v>65</v>
      </c>
      <c r="F45" s="5" t="s">
        <v>39</v>
      </c>
      <c r="G45" s="7">
        <v>9000</v>
      </c>
      <c r="H45" s="5">
        <v>7</v>
      </c>
      <c r="I45" s="7">
        <f t="shared" si="0"/>
        <v>63000</v>
      </c>
      <c r="J45" s="5" t="s">
        <v>106</v>
      </c>
      <c r="K45" s="18">
        <f t="shared" ca="1" si="1"/>
        <v>11340</v>
      </c>
    </row>
    <row r="46" spans="1:11" x14ac:dyDescent="0.3">
      <c r="A46" s="5">
        <v>1046</v>
      </c>
      <c r="B46" s="6">
        <v>46141</v>
      </c>
      <c r="C46" s="5" t="s">
        <v>79</v>
      </c>
      <c r="D46" s="5" t="s">
        <v>80</v>
      </c>
      <c r="E46" s="5" t="s">
        <v>50</v>
      </c>
      <c r="F46" s="5" t="s">
        <v>51</v>
      </c>
      <c r="G46" s="7">
        <v>150</v>
      </c>
      <c r="H46" s="5">
        <v>6</v>
      </c>
      <c r="I46" s="7">
        <f t="shared" si="0"/>
        <v>900</v>
      </c>
      <c r="J46" s="5" t="s">
        <v>107</v>
      </c>
      <c r="K46" s="18">
        <f t="shared" ca="1" si="1"/>
        <v>162</v>
      </c>
    </row>
    <row r="47" spans="1:11" x14ac:dyDescent="0.3">
      <c r="A47" s="5">
        <v>1047</v>
      </c>
      <c r="B47" s="6">
        <v>46090</v>
      </c>
      <c r="C47" s="5" t="s">
        <v>36</v>
      </c>
      <c r="D47" s="5" t="s">
        <v>37</v>
      </c>
      <c r="E47" s="5" t="s">
        <v>82</v>
      </c>
      <c r="F47" s="5" t="s">
        <v>42</v>
      </c>
      <c r="G47" s="7">
        <v>3500</v>
      </c>
      <c r="H47" s="5">
        <v>18</v>
      </c>
      <c r="I47" s="7">
        <f t="shared" si="0"/>
        <v>63000</v>
      </c>
      <c r="J47" s="5" t="s">
        <v>108</v>
      </c>
      <c r="K47" s="18">
        <f t="shared" ca="1" si="1"/>
        <v>11340</v>
      </c>
    </row>
    <row r="48" spans="1:11" x14ac:dyDescent="0.3">
      <c r="A48" s="5">
        <v>1048</v>
      </c>
      <c r="B48" s="6">
        <v>46193</v>
      </c>
      <c r="C48" s="5" t="s">
        <v>49</v>
      </c>
      <c r="D48" s="5" t="s">
        <v>45</v>
      </c>
      <c r="E48" s="5" t="s">
        <v>38</v>
      </c>
      <c r="F48" s="5" t="s">
        <v>39</v>
      </c>
      <c r="G48" s="7">
        <v>55000</v>
      </c>
      <c r="H48" s="5">
        <v>3</v>
      </c>
      <c r="I48" s="7">
        <f t="shared" si="0"/>
        <v>165000</v>
      </c>
      <c r="J48" s="5" t="s">
        <v>109</v>
      </c>
      <c r="K48" s="18">
        <f t="shared" ca="1" si="1"/>
        <v>29700</v>
      </c>
    </row>
    <row r="49" spans="1:11" x14ac:dyDescent="0.3">
      <c r="A49" s="5">
        <v>1049</v>
      </c>
      <c r="B49" s="6">
        <v>46069</v>
      </c>
      <c r="C49" s="5" t="s">
        <v>103</v>
      </c>
      <c r="D49" s="5" t="s">
        <v>80</v>
      </c>
      <c r="E49" s="5" t="s">
        <v>82</v>
      </c>
      <c r="F49" s="5" t="s">
        <v>42</v>
      </c>
      <c r="G49" s="7">
        <v>3500</v>
      </c>
      <c r="H49" s="5">
        <v>16</v>
      </c>
      <c r="I49" s="7">
        <f t="shared" si="0"/>
        <v>56000</v>
      </c>
      <c r="J49" s="5" t="s">
        <v>110</v>
      </c>
      <c r="K49" s="18">
        <f t="shared" ca="1" si="1"/>
        <v>10080</v>
      </c>
    </row>
    <row r="50" spans="1:11" x14ac:dyDescent="0.3">
      <c r="A50" s="5">
        <v>1050</v>
      </c>
      <c r="B50" s="6">
        <v>46042</v>
      </c>
      <c r="C50" s="5" t="s">
        <v>79</v>
      </c>
      <c r="D50" s="5" t="s">
        <v>80</v>
      </c>
      <c r="E50" s="5" t="s">
        <v>50</v>
      </c>
      <c r="F50" s="5" t="s">
        <v>51</v>
      </c>
      <c r="G50" s="7">
        <v>150</v>
      </c>
      <c r="H50" s="5">
        <v>1</v>
      </c>
      <c r="I50" s="7">
        <f t="shared" si="0"/>
        <v>150</v>
      </c>
      <c r="J50" s="5" t="s">
        <v>111</v>
      </c>
      <c r="K50" s="18">
        <f t="shared" ca="1" si="1"/>
        <v>27</v>
      </c>
    </row>
    <row r="51" spans="1:11" x14ac:dyDescent="0.3">
      <c r="A51" s="5">
        <v>1051</v>
      </c>
      <c r="B51" s="6">
        <v>46227</v>
      </c>
      <c r="C51" s="5" t="s">
        <v>61</v>
      </c>
      <c r="D51" s="5" t="s">
        <v>56</v>
      </c>
      <c r="E51" s="5" t="s">
        <v>86</v>
      </c>
      <c r="F51" s="5" t="s">
        <v>51</v>
      </c>
      <c r="G51" s="7">
        <v>50</v>
      </c>
      <c r="H51" s="5">
        <v>14</v>
      </c>
      <c r="I51" s="7">
        <f t="shared" si="0"/>
        <v>700</v>
      </c>
      <c r="J51" s="5" t="s">
        <v>112</v>
      </c>
      <c r="K51" s="18">
        <f t="shared" ca="1" si="1"/>
        <v>126</v>
      </c>
    </row>
    <row r="52" spans="1:11" x14ac:dyDescent="0.3">
      <c r="A52" s="5">
        <v>1052</v>
      </c>
      <c r="B52" s="6">
        <v>46227</v>
      </c>
      <c r="C52" s="5" t="s">
        <v>49</v>
      </c>
      <c r="D52" s="5" t="s">
        <v>45</v>
      </c>
      <c r="E52" s="5" t="s">
        <v>82</v>
      </c>
      <c r="F52" s="5" t="s">
        <v>42</v>
      </c>
      <c r="G52" s="7">
        <v>3500</v>
      </c>
      <c r="H52" s="5">
        <v>5</v>
      </c>
      <c r="I52" s="7">
        <f t="shared" si="0"/>
        <v>17500</v>
      </c>
      <c r="J52" s="5" t="s">
        <v>113</v>
      </c>
      <c r="K52" s="18">
        <f t="shared" ca="1" si="1"/>
        <v>3150</v>
      </c>
    </row>
    <row r="53" spans="1:11" x14ac:dyDescent="0.3">
      <c r="A53" s="5">
        <v>1053</v>
      </c>
      <c r="B53" s="6">
        <v>46082</v>
      </c>
      <c r="C53" s="5" t="s">
        <v>44</v>
      </c>
      <c r="D53" s="5" t="s">
        <v>45</v>
      </c>
      <c r="E53" s="5" t="s">
        <v>41</v>
      </c>
      <c r="F53" s="5" t="s">
        <v>42</v>
      </c>
      <c r="G53" s="7">
        <v>7000</v>
      </c>
      <c r="H53" s="5">
        <v>2</v>
      </c>
      <c r="I53" s="7">
        <f t="shared" si="0"/>
        <v>14000</v>
      </c>
      <c r="J53" s="5" t="s">
        <v>114</v>
      </c>
      <c r="K53" s="18">
        <f t="shared" ca="1" si="1"/>
        <v>2520</v>
      </c>
    </row>
    <row r="54" spans="1:11" x14ac:dyDescent="0.3">
      <c r="A54" s="5">
        <v>1054</v>
      </c>
      <c r="B54" s="6">
        <v>46041</v>
      </c>
      <c r="C54" s="5" t="s">
        <v>44</v>
      </c>
      <c r="D54" s="5" t="s">
        <v>45</v>
      </c>
      <c r="E54" s="5" t="s">
        <v>82</v>
      </c>
      <c r="F54" s="5" t="s">
        <v>42</v>
      </c>
      <c r="G54" s="7">
        <v>3500</v>
      </c>
      <c r="H54" s="5">
        <v>17</v>
      </c>
      <c r="I54" s="7">
        <f t="shared" si="0"/>
        <v>59500</v>
      </c>
      <c r="J54" s="5" t="s">
        <v>115</v>
      </c>
      <c r="K54" s="18">
        <f t="shared" ca="1" si="1"/>
        <v>10710</v>
      </c>
    </row>
    <row r="55" spans="1:11" x14ac:dyDescent="0.3">
      <c r="A55" s="5">
        <v>1055</v>
      </c>
      <c r="B55" s="6">
        <v>46041</v>
      </c>
      <c r="C55" s="5" t="s">
        <v>49</v>
      </c>
      <c r="D55" s="5" t="s">
        <v>45</v>
      </c>
      <c r="E55" s="5" t="s">
        <v>46</v>
      </c>
      <c r="F55" s="5" t="s">
        <v>39</v>
      </c>
      <c r="G55" s="7">
        <v>500</v>
      </c>
      <c r="H55" s="5">
        <v>6</v>
      </c>
      <c r="I55" s="7">
        <f t="shared" si="0"/>
        <v>3000</v>
      </c>
      <c r="J55" s="5" t="s">
        <v>116</v>
      </c>
      <c r="K55" s="18">
        <f t="shared" ca="1" si="1"/>
        <v>540</v>
      </c>
    </row>
    <row r="56" spans="1:11" x14ac:dyDescent="0.3">
      <c r="A56" s="5">
        <v>1056</v>
      </c>
      <c r="B56" s="6">
        <v>46044</v>
      </c>
      <c r="C56" s="5" t="s">
        <v>55</v>
      </c>
      <c r="D56" s="5" t="s">
        <v>56</v>
      </c>
      <c r="E56" s="5" t="s">
        <v>50</v>
      </c>
      <c r="F56" s="5" t="s">
        <v>51</v>
      </c>
      <c r="G56" s="7">
        <v>150</v>
      </c>
      <c r="H56" s="5">
        <v>4</v>
      </c>
      <c r="I56" s="7">
        <f t="shared" si="0"/>
        <v>600</v>
      </c>
      <c r="J56" s="5" t="s">
        <v>117</v>
      </c>
      <c r="K56" s="18">
        <f t="shared" ca="1" si="1"/>
        <v>108</v>
      </c>
    </row>
    <row r="57" spans="1:11" x14ac:dyDescent="0.3">
      <c r="A57" s="5">
        <v>1057</v>
      </c>
      <c r="B57" s="6">
        <v>46175</v>
      </c>
      <c r="C57" s="5" t="s">
        <v>73</v>
      </c>
      <c r="D57" s="5" t="s">
        <v>37</v>
      </c>
      <c r="E57" s="5" t="s">
        <v>38</v>
      </c>
      <c r="F57" s="5" t="s">
        <v>39</v>
      </c>
      <c r="G57" s="7">
        <v>55000</v>
      </c>
      <c r="H57" s="5">
        <v>20</v>
      </c>
      <c r="I57" s="7">
        <f t="shared" si="0"/>
        <v>1100000</v>
      </c>
      <c r="J57" s="5" t="s">
        <v>118</v>
      </c>
      <c r="K57" s="18">
        <f t="shared" ca="1" si="1"/>
        <v>198000</v>
      </c>
    </row>
    <row r="58" spans="1:11" x14ac:dyDescent="0.3">
      <c r="A58" s="5">
        <v>1058</v>
      </c>
      <c r="B58" s="6">
        <v>46195</v>
      </c>
      <c r="C58" s="5" t="s">
        <v>73</v>
      </c>
      <c r="D58" s="5" t="s">
        <v>37</v>
      </c>
      <c r="E58" s="5" t="s">
        <v>41</v>
      </c>
      <c r="F58" s="5" t="s">
        <v>42</v>
      </c>
      <c r="G58" s="7">
        <v>7000</v>
      </c>
      <c r="H58" s="5">
        <v>11</v>
      </c>
      <c r="I58" s="7">
        <f t="shared" si="0"/>
        <v>77000</v>
      </c>
      <c r="J58" s="5" t="s">
        <v>119</v>
      </c>
      <c r="K58" s="18">
        <f t="shared" ca="1" si="1"/>
        <v>13860</v>
      </c>
    </row>
    <row r="59" spans="1:11" x14ac:dyDescent="0.3">
      <c r="A59" s="5">
        <v>1059</v>
      </c>
      <c r="B59" s="6">
        <v>46198</v>
      </c>
      <c r="C59" s="5" t="s">
        <v>59</v>
      </c>
      <c r="D59" s="5" t="s">
        <v>37</v>
      </c>
      <c r="E59" s="5" t="s">
        <v>65</v>
      </c>
      <c r="F59" s="5" t="s">
        <v>39</v>
      </c>
      <c r="G59" s="7">
        <v>9000</v>
      </c>
      <c r="H59" s="5">
        <v>9</v>
      </c>
      <c r="I59" s="7">
        <f t="shared" si="0"/>
        <v>81000</v>
      </c>
      <c r="J59" s="5" t="s">
        <v>120</v>
      </c>
      <c r="K59" s="18">
        <f t="shared" ca="1" si="1"/>
        <v>14580</v>
      </c>
    </row>
    <row r="60" spans="1:11" x14ac:dyDescent="0.3">
      <c r="A60" s="5">
        <v>1060</v>
      </c>
      <c r="B60" s="6">
        <v>46198</v>
      </c>
      <c r="C60" s="5" t="s">
        <v>63</v>
      </c>
      <c r="D60" s="5" t="s">
        <v>45</v>
      </c>
      <c r="E60" s="5" t="s">
        <v>82</v>
      </c>
      <c r="F60" s="5" t="s">
        <v>42</v>
      </c>
      <c r="G60" s="7">
        <v>3500</v>
      </c>
      <c r="H60" s="5">
        <v>11</v>
      </c>
      <c r="I60" s="7">
        <f t="shared" si="0"/>
        <v>38500</v>
      </c>
      <c r="J60" s="5" t="s">
        <v>121</v>
      </c>
      <c r="K60" s="18">
        <f t="shared" ca="1" si="1"/>
        <v>6930</v>
      </c>
    </row>
    <row r="61" spans="1:11" x14ac:dyDescent="0.3">
      <c r="A61" s="5">
        <v>1004</v>
      </c>
      <c r="B61" s="6">
        <v>46181</v>
      </c>
      <c r="C61" s="5" t="s">
        <v>44</v>
      </c>
      <c r="D61" s="5" t="s">
        <v>45</v>
      </c>
      <c r="E61" s="5" t="s">
        <v>41</v>
      </c>
      <c r="F61" s="5" t="s">
        <v>42</v>
      </c>
      <c r="G61" s="7">
        <v>7000</v>
      </c>
      <c r="H61" s="5">
        <v>7</v>
      </c>
      <c r="I61" s="7">
        <f t="shared" si="0"/>
        <v>49000</v>
      </c>
      <c r="J61" s="5" t="s">
        <v>48</v>
      </c>
      <c r="K61" s="18">
        <f t="shared" ca="1" si="1"/>
        <v>8820</v>
      </c>
    </row>
    <row r="62" spans="1:11" x14ac:dyDescent="0.3">
      <c r="A62" s="5">
        <v>1004</v>
      </c>
      <c r="B62" s="6">
        <v>46181</v>
      </c>
      <c r="C62" s="5" t="s">
        <v>44</v>
      </c>
      <c r="D62" s="5" t="s">
        <v>45</v>
      </c>
      <c r="E62" s="5" t="s">
        <v>41</v>
      </c>
      <c r="F62" s="5" t="s">
        <v>42</v>
      </c>
      <c r="G62" s="7">
        <v>7000</v>
      </c>
      <c r="H62" s="5">
        <v>7</v>
      </c>
      <c r="I62" s="7">
        <f t="shared" si="0"/>
        <v>49000</v>
      </c>
      <c r="J62" s="5" t="s">
        <v>48</v>
      </c>
      <c r="K62" s="18">
        <f t="shared" ca="1" si="1"/>
        <v>8820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Data</vt:lpstr>
      <vt:lpstr>Sheet1</vt:lpstr>
      <vt:lpstr>Employees</vt:lpstr>
      <vt:lpstr>PriceList</vt:lpstr>
      <vt:lpstr>=</vt:lpstr>
      <vt:lpstr>Week2_Practice</vt:lpstr>
      <vt:lpstr>Answer_Key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ajsonu331@gmail.com</cp:lastModifiedBy>
  <cp:revision>0</cp:revision>
  <dcterms:created xsi:type="dcterms:W3CDTF">2026-09-14T14:15:47Z</dcterms:created>
  <dcterms:modified xsi:type="dcterms:W3CDTF">2026-09-15T14:12:42Z</dcterms:modified>
  <dc:language>en-US</dc:language>
</cp:coreProperties>
</file>