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6ab20a94b0655f61/Desktop/DA/"/>
    </mc:Choice>
  </mc:AlternateContent>
  <xr:revisionPtr revIDLastSave="315" documentId="11_BA6C6019AFB34BA3A4B5190C22111B33A91165F0" xr6:coauthVersionLast="47" xr6:coauthVersionMax="47" xr10:uidLastSave="{920BC281-B4D3-4D3C-925B-E4EE8BBC55A7}"/>
  <bookViews>
    <workbookView xWindow="-108" yWindow="-108" windowWidth="23256" windowHeight="12456" activeTab="3" xr2:uid="{00000000-000D-0000-FFFF-FFFF00000000}"/>
  </bookViews>
  <sheets>
    <sheet name="Read Me" sheetId="1" r:id="rId1"/>
    <sheet name="Week1_Basics" sheetId="2" r:id="rId2"/>
    <sheet name="Week2_Lookups" sheetId="3" r:id="rId3"/>
    <sheet name="Sheet1" sheetId="6" r:id="rId4"/>
    <sheet name="Week3_Analysis" sheetId="4" r:id="rId5"/>
    <sheet name="Answer_Key" sheetId="5" r:id="rId6"/>
  </sheets>
  <definedNames>
    <definedName name="Slicer_Category">#N/A</definedName>
    <definedName name="Slicer_Region">#N/A</definedName>
  </definedNames>
  <calcPr calcId="191029"/>
  <pivotCaches>
    <pivotCache cacheId="4"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9" i="3" l="1" a="1"/>
  <c r="N29" i="3" s="1"/>
  <c r="N2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18" i="3"/>
  <c r="C53" i="3"/>
  <c r="C52" i="3"/>
  <c r="C51" i="3"/>
  <c r="C50" i="3"/>
  <c r="I22" i="3"/>
  <c r="I18" i="3"/>
  <c r="M26" i="3"/>
  <c r="M27" i="3"/>
  <c r="M28" i="3"/>
  <c r="M29" i="3"/>
  <c r="M30" i="3"/>
  <c r="M31" i="3"/>
  <c r="M32" i="3"/>
  <c r="M33" i="3"/>
  <c r="M34" i="3"/>
  <c r="M35" i="3"/>
  <c r="M36" i="3"/>
  <c r="M37" i="3"/>
  <c r="M38" i="3"/>
  <c r="M39" i="3"/>
  <c r="M40" i="3"/>
  <c r="M41" i="3"/>
  <c r="M42" i="3"/>
  <c r="M43" i="3"/>
  <c r="M44" i="3"/>
  <c r="M45" i="3"/>
  <c r="M46" i="3"/>
  <c r="M47" i="3"/>
  <c r="M20" i="3"/>
  <c r="M21" i="3"/>
  <c r="M22" i="3"/>
  <c r="M23" i="3"/>
  <c r="M24" i="3"/>
  <c r="M25" i="3"/>
  <c r="M19" i="3"/>
  <c r="M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18" i="3"/>
  <c r="H25" i="3"/>
  <c r="I25" i="3" s="1"/>
  <c r="H26" i="3"/>
  <c r="I26" i="3" s="1"/>
  <c r="H27" i="3"/>
  <c r="I27" i="3" s="1"/>
  <c r="H28" i="3"/>
  <c r="I28" i="3" s="1"/>
  <c r="H29" i="3"/>
  <c r="I29" i="3" s="1"/>
  <c r="H30" i="3"/>
  <c r="I30" i="3" s="1"/>
  <c r="H31" i="3"/>
  <c r="I31" i="3" s="1"/>
  <c r="H32" i="3"/>
  <c r="I32" i="3" s="1"/>
  <c r="H33" i="3"/>
  <c r="I33" i="3" s="1"/>
  <c r="H34" i="3"/>
  <c r="I34" i="3" s="1"/>
  <c r="H35" i="3"/>
  <c r="I35" i="3" s="1"/>
  <c r="H36" i="3"/>
  <c r="I36" i="3" s="1"/>
  <c r="H37" i="3"/>
  <c r="I37" i="3" s="1"/>
  <c r="H38" i="3"/>
  <c r="I38" i="3" s="1"/>
  <c r="H39" i="3"/>
  <c r="I39" i="3" s="1"/>
  <c r="H40" i="3"/>
  <c r="I40" i="3" s="1"/>
  <c r="H41" i="3"/>
  <c r="I41" i="3" s="1"/>
  <c r="H42" i="3"/>
  <c r="I42" i="3" s="1"/>
  <c r="H43" i="3"/>
  <c r="I43" i="3" s="1"/>
  <c r="H44" i="3"/>
  <c r="I44" i="3" s="1"/>
  <c r="H45" i="3"/>
  <c r="I45" i="3" s="1"/>
  <c r="H46" i="3"/>
  <c r="I46" i="3" s="1"/>
  <c r="H47" i="3"/>
  <c r="I47" i="3" s="1"/>
  <c r="H20" i="3"/>
  <c r="I20" i="3" s="1"/>
  <c r="H21" i="3"/>
  <c r="I21" i="3" s="1"/>
  <c r="H22" i="3"/>
  <c r="H23" i="3"/>
  <c r="I23" i="3" s="1"/>
  <c r="H24" i="3"/>
  <c r="I24" i="3" s="1"/>
  <c r="H19" i="3"/>
  <c r="I19" i="3" s="1"/>
  <c r="H18" i="3"/>
  <c r="O5" i="2"/>
  <c r="O6" i="2"/>
  <c r="O7" i="2"/>
  <c r="O8" i="2"/>
  <c r="O9" i="2"/>
  <c r="O10" i="2"/>
  <c r="O11" i="2"/>
  <c r="O12" i="2"/>
  <c r="O13" i="2"/>
  <c r="O14" i="2"/>
  <c r="O15" i="2"/>
  <c r="O16" i="2"/>
  <c r="O17" i="2"/>
  <c r="O18" i="2"/>
  <c r="O19" i="2"/>
  <c r="O20" i="2"/>
  <c r="O21" i="2"/>
  <c r="O22" i="2"/>
  <c r="O23" i="2"/>
  <c r="O4" i="2"/>
  <c r="R5" i="2"/>
  <c r="R6" i="2"/>
  <c r="R7" i="2"/>
  <c r="R8" i="2"/>
  <c r="R9" i="2"/>
  <c r="R10" i="2"/>
  <c r="R11" i="2"/>
  <c r="R12" i="2"/>
  <c r="R13" i="2"/>
  <c r="R14" i="2"/>
  <c r="R15" i="2"/>
  <c r="R16" i="2"/>
  <c r="R17" i="2"/>
  <c r="R18" i="2"/>
  <c r="R19" i="2"/>
  <c r="R20" i="2"/>
  <c r="R21" i="2"/>
  <c r="R22" i="2"/>
  <c r="R23" i="2"/>
  <c r="R4" i="2"/>
  <c r="Q5" i="2"/>
  <c r="Q6" i="2"/>
  <c r="Q7" i="2"/>
  <c r="Q8" i="2"/>
  <c r="Q9" i="2"/>
  <c r="Q10" i="2"/>
  <c r="Q11" i="2"/>
  <c r="Q12" i="2"/>
  <c r="Q13" i="2"/>
  <c r="Q14" i="2"/>
  <c r="Q15" i="2"/>
  <c r="Q16" i="2"/>
  <c r="Q17" i="2"/>
  <c r="Q18" i="2"/>
  <c r="Q19" i="2"/>
  <c r="Q20" i="2"/>
  <c r="Q21" i="2"/>
  <c r="Q22" i="2"/>
  <c r="Q23" i="2"/>
  <c r="Q4" i="2"/>
  <c r="P5" i="2"/>
  <c r="P6" i="2"/>
  <c r="P7" i="2"/>
  <c r="P8" i="2"/>
  <c r="P9" i="2"/>
  <c r="P10" i="2"/>
  <c r="P11" i="2"/>
  <c r="P12" i="2"/>
  <c r="P13" i="2"/>
  <c r="P14" i="2"/>
  <c r="P15" i="2"/>
  <c r="P16" i="2"/>
  <c r="P17" i="2"/>
  <c r="P18" i="2"/>
  <c r="P19" i="2"/>
  <c r="P20" i="2"/>
  <c r="P21" i="2"/>
  <c r="P22" i="2"/>
  <c r="P23" i="2"/>
  <c r="P4" i="2"/>
  <c r="N8" i="2"/>
  <c r="N9" i="2"/>
  <c r="N10" i="2"/>
  <c r="N11" i="2"/>
  <c r="N12" i="2"/>
  <c r="N13" i="2"/>
  <c r="N14" i="2"/>
  <c r="N15" i="2"/>
  <c r="N16" i="2"/>
  <c r="N20" i="2"/>
  <c r="N21" i="2"/>
  <c r="N22" i="2"/>
  <c r="N23" i="2"/>
  <c r="M5" i="2"/>
  <c r="M6" i="2"/>
  <c r="M7" i="2"/>
  <c r="M8" i="2"/>
  <c r="M19" i="2"/>
  <c r="M20" i="2"/>
  <c r="K29" i="2"/>
  <c r="L5" i="2"/>
  <c r="L6" i="2"/>
  <c r="L7" i="2"/>
  <c r="L8" i="2"/>
  <c r="L9" i="2"/>
  <c r="L10" i="2"/>
  <c r="L11" i="2"/>
  <c r="L12" i="2"/>
  <c r="L13" i="2"/>
  <c r="L14" i="2"/>
  <c r="L15" i="2"/>
  <c r="L16" i="2"/>
  <c r="L17" i="2"/>
  <c r="L18" i="2"/>
  <c r="L19" i="2"/>
  <c r="L20" i="2"/>
  <c r="L21" i="2"/>
  <c r="L22" i="2"/>
  <c r="L23" i="2"/>
  <c r="L4" i="2"/>
  <c r="K8" i="2"/>
  <c r="K9" i="2"/>
  <c r="M9" i="2" s="1"/>
  <c r="K10" i="2"/>
  <c r="M10" i="2" s="1"/>
  <c r="K11" i="2"/>
  <c r="M11" i="2" s="1"/>
  <c r="K12" i="2"/>
  <c r="M12" i="2" s="1"/>
  <c r="K13" i="2"/>
  <c r="M13" i="2" s="1"/>
  <c r="K14" i="2"/>
  <c r="M14" i="2" s="1"/>
  <c r="K15" i="2"/>
  <c r="M15" i="2" s="1"/>
  <c r="K16" i="2"/>
  <c r="M16" i="2" s="1"/>
  <c r="K17" i="2"/>
  <c r="N17" i="2" s="1"/>
  <c r="K18" i="2"/>
  <c r="M18" i="2" s="1"/>
  <c r="K19" i="2"/>
  <c r="N19" i="2" s="1"/>
  <c r="K20" i="2"/>
  <c r="K21" i="2"/>
  <c r="M21" i="2" s="1"/>
  <c r="K22" i="2"/>
  <c r="M22" i="2" s="1"/>
  <c r="K23" i="2"/>
  <c r="M23" i="2" s="1"/>
  <c r="K5" i="2"/>
  <c r="N5" i="2" s="1"/>
  <c r="K6" i="2"/>
  <c r="N6" i="2" s="1"/>
  <c r="K7" i="2"/>
  <c r="N7" i="2" s="1"/>
  <c r="K4" i="2"/>
  <c r="M4" i="2" s="1"/>
  <c r="N27" i="3" l="1"/>
  <c r="M17" i="2"/>
  <c r="N4" i="2"/>
  <c r="N18"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<sst xmlns="http://schemas.openxmlformats.org/spreadsheetml/2006/main" count="680" uniqueCount="349">
  <si>
    <t>Excel Practice Workbook — 20 Day Plan</t>
  </si>
  <si>
    <t>How to use this workbook</t>
  </si>
  <si>
    <t>This workbook has one sheet of raw data per week, matching your study plan.</t>
  </si>
  <si>
    <t>Each data sheet has a 'Practice Questions' block next to (or below) the data — do the</t>
  </si>
  <si>
    <t>task directly on that sheet, in the empty yellow-highlighted columns provided.</t>
  </si>
  <si>
    <t>Sheet map:</t>
  </si>
  <si>
    <t xml:space="preserve">  • Week1_Basics   -&gt; Days 1-7  (interface, SUM/AVERAGE/MIN/MAX/COUNT, IF/AND/OR,</t>
  </si>
  <si>
    <t xml:space="preserve">                        references, sort/filter/duplicates, text functions, revision)</t>
  </si>
  <si>
    <t xml:space="preserve">  • Week2_Lookups  -&gt; Days 8-14 (XLOOKUP, VLOOKUP, INDEX+MATCH, SUMIF(S), COUNTIF(S),</t>
  </si>
  <si>
    <t xml:space="preserve">                        date functions)</t>
  </si>
  <si>
    <t xml:space="preserve">  • Week3_Analysis -&gt; Days 15-20 (Tables, conditional formatting, PivotTables,</t>
  </si>
  <si>
    <t xml:space="preserve">                        PivotCharts, Slicers, data cleaning)</t>
  </si>
  <si>
    <t xml:space="preserve">  • Answer_Key     -&gt; Formulas / approach for every numbered question (no peeking</t>
  </si>
  <si>
    <t xml:space="preserve">                        until you've tried it yourself!)</t>
  </si>
  <si>
    <t>Tip: yellow cells are where YOUR formulas/work should go. Everything else is fixed</t>
  </si>
  <si>
    <t>source data — don't need to edit it (except in the Week3 cleaning task, where making a</t>
  </si>
  <si>
    <t>mess into something clean is the whole point).</t>
  </si>
  <si>
    <t>Week 1 Data — Employee Sales (Jan–Mar)</t>
  </si>
  <si>
    <t>EmpID</t>
  </si>
  <si>
    <t>Full Name</t>
  </si>
  <si>
    <t>Department</t>
  </si>
  <si>
    <t>Region</t>
  </si>
  <si>
    <t>Jan Sales</t>
  </si>
  <si>
    <t>Feb Sales</t>
  </si>
  <si>
    <t>Mar Sales</t>
  </si>
  <si>
    <t>Email</t>
  </si>
  <si>
    <t>Employee Code</t>
  </si>
  <si>
    <t>Total Sales (Q1)</t>
  </si>
  <si>
    <t>Avg Sales</t>
  </si>
  <si>
    <t>% of Grand Total</t>
  </si>
  <si>
    <t>Bonus Eligible?</t>
  </si>
  <si>
    <t>Region Code (from code)</t>
  </si>
  <si>
    <t>Dept Code (from code)</t>
  </si>
  <si>
    <t>Practice Questions — Days 1-7</t>
  </si>
  <si>
    <t>EMP001</t>
  </si>
  <si>
    <t>Meera Sharma</t>
  </si>
  <si>
    <t>Support</t>
  </si>
  <si>
    <t>South</t>
  </si>
  <si>
    <t>meera.sharma@company.com</t>
  </si>
  <si>
    <t>SR-SUP-2023</t>
  </si>
  <si>
    <t>1. Day 1: Bold the header row, freeze the header row (View &gt; Freeze Panes), and widen columns so no data is cut off.</t>
  </si>
  <si>
    <t>EMP002</t>
  </si>
  <si>
    <t>Karan Chopra</t>
  </si>
  <si>
    <t>Finance</t>
  </si>
  <si>
    <t>North</t>
  </si>
  <si>
    <t>karan.chopra@company.com</t>
  </si>
  <si>
    <t>NR-FIN-2020</t>
  </si>
  <si>
    <t>2. Day 2: In 'Total Sales (Q1)' compute SUM(Jan:Mar) for each employee. In row below the table add SUM, AVERAGE, MIN, MAX and COUNT of the whole Q1 Total column.</t>
  </si>
  <si>
    <t>EMP003</t>
  </si>
  <si>
    <t>Suresh Chopra</t>
  </si>
  <si>
    <t>Sales</t>
  </si>
  <si>
    <t>suresh.chopra@company.com</t>
  </si>
  <si>
    <t>SR-SAL-2023</t>
  </si>
  <si>
    <t>3. Day 2: In 'Avg Sales' compute the AVERAGE of that employee's Jan/Feb/Mar sales.</t>
  </si>
  <si>
    <t>EMP004</t>
  </si>
  <si>
    <t>Vikram Sharma</t>
  </si>
  <si>
    <t>Marketing</t>
  </si>
  <si>
    <t>West</t>
  </si>
  <si>
    <t>vikram.sharma@company.com</t>
  </si>
  <si>
    <t>WR-MKT-2020</t>
  </si>
  <si>
    <t>4. Day 3: In 'Bonus Eligible?' use IF: 'Yes' if Total Sales (Q1) &gt; 150000, else 'No'.</t>
  </si>
  <si>
    <t>EMP005</t>
  </si>
  <si>
    <t>Rohit Verma</t>
  </si>
  <si>
    <t>rohit.verma@company.com</t>
  </si>
  <si>
    <t>WR-SAL-2023</t>
  </si>
  <si>
    <t>5. Day 3: Add a second version using AND — eligible only if Total &gt; 150000 AND Region is 'North' or 'South' (hint: combine AND with OR inside the IF).</t>
  </si>
  <si>
    <t>EMP006</t>
  </si>
  <si>
    <t>NR-FIN-2023</t>
  </si>
  <si>
    <t>6. Day 4: Fill 'Grand Total Q1 Sales' with SUM of the whole Total Sales column. In '% of Grand Total' compute each employee's Total Sales divided by the grand-total cell using an ABSOLUTE reference ($) so the formula can be copied down without breaking.</t>
  </si>
  <si>
    <t>EMP007</t>
  </si>
  <si>
    <t>Sneha Chopra</t>
  </si>
  <si>
    <t>sneha.chopra@company.com</t>
  </si>
  <si>
    <t>NR-MKT-2019</t>
  </si>
  <si>
    <t>7. Day 5: Sort the table by Total Sales (Q1) descending. Then filter to show only the 'Sales' department. Then use Remove Duplicates on the two intentionally-duplicated rows below the table.</t>
  </si>
  <si>
    <t>EMP008</t>
  </si>
  <si>
    <t>Neha Verma</t>
  </si>
  <si>
    <t>East</t>
  </si>
  <si>
    <t>neha.verma@company.com</t>
  </si>
  <si>
    <t>ER-FIN-2021</t>
  </si>
  <si>
    <t>8. Day 6: In 'Region Code (from code)' use LEFT/FIND or MID on 'Employee Code' to pull out just the 2-letter region code (e.g. 'NR'). In 'Dept Code (from code)' pull out the 3-letter department code (e.g. 'SAL'). Also try LEN() on the Full Name column.</t>
  </si>
  <si>
    <t>EMP009</t>
  </si>
  <si>
    <t>Sneha Nair</t>
  </si>
  <si>
    <t>sneha.nair@company.com</t>
  </si>
  <si>
    <t>NR-SUP-2022</t>
  </si>
  <si>
    <t>9. Day 7 (Revision): Redo Q2–Q6 from scratch without looking at your earlier formulas, then check the Answer_Key sheet.</t>
  </si>
  <si>
    <t>EMP010</t>
  </si>
  <si>
    <t>Aman Iyer</t>
  </si>
  <si>
    <t>aman.iyer@company.com</t>
  </si>
  <si>
    <t>ER-MKT-2021</t>
  </si>
  <si>
    <t>EMP011</t>
  </si>
  <si>
    <t>SR-SAL-2022</t>
  </si>
  <si>
    <t>EMP012</t>
  </si>
  <si>
    <t>Deepak Gupta</t>
  </si>
  <si>
    <t>deepak.gupta@company.com</t>
  </si>
  <si>
    <t>EMP013</t>
  </si>
  <si>
    <t>Aman Reddy</t>
  </si>
  <si>
    <t>aman.reddy@company.com</t>
  </si>
  <si>
    <t>SR-MKT-2019</t>
  </si>
  <si>
    <t>EMP014</t>
  </si>
  <si>
    <t>Meera Gupta</t>
  </si>
  <si>
    <t>meera.gupta@company.com</t>
  </si>
  <si>
    <t>WR-MKT-2023</t>
  </si>
  <si>
    <t>EMP015</t>
  </si>
  <si>
    <t>Deepak Mehta</t>
  </si>
  <si>
    <t>deepak.mehta@company.com</t>
  </si>
  <si>
    <t>NR-SUP-2019</t>
  </si>
  <si>
    <t>EMP016</t>
  </si>
  <si>
    <t>Divya Kapoor</t>
  </si>
  <si>
    <t>divya.kapoor@company.com</t>
  </si>
  <si>
    <t>EMP017</t>
  </si>
  <si>
    <t>Suresh Verma</t>
  </si>
  <si>
    <t>suresh.verma@company.com</t>
  </si>
  <si>
    <t>EMP018</t>
  </si>
  <si>
    <t>Suresh Sharma</t>
  </si>
  <si>
    <t>suresh.sharma@company.com</t>
  </si>
  <si>
    <t>WR-SUP-2021</t>
  </si>
  <si>
    <t>EMP019</t>
  </si>
  <si>
    <t>Neha Sharma</t>
  </si>
  <si>
    <t>neha.sharma@company.com</t>
  </si>
  <si>
    <t>NR-MKT-2023</t>
  </si>
  <si>
    <t>EMP020</t>
  </si>
  <si>
    <t>Sanjay Gupta</t>
  </si>
  <si>
    <t>sanjay.gupta@company.com</t>
  </si>
  <si>
    <t>SR-FIN-2020</t>
  </si>
  <si>
    <t>(rows below duplicate rows above on purpose — for Day 5 practice)</t>
  </si>
  <si>
    <t>Grand Total Q1 Sales (fill in, then reference it with $ absolute refs above):</t>
  </si>
  <si>
    <t>Week 2 Data — Products &amp; Orders</t>
  </si>
  <si>
    <t>Products</t>
  </si>
  <si>
    <t>ProductID</t>
  </si>
  <si>
    <t>Product Name</t>
  </si>
  <si>
    <t>Category</t>
  </si>
  <si>
    <t>Unit Price</t>
  </si>
  <si>
    <t>P01</t>
  </si>
  <si>
    <t>Wireless Mouse</t>
  </si>
  <si>
    <t>Electronics</t>
  </si>
  <si>
    <t>P02</t>
  </si>
  <si>
    <t>Mechanical Keyboard</t>
  </si>
  <si>
    <t>P03</t>
  </si>
  <si>
    <t>USB-C Hub</t>
  </si>
  <si>
    <t>P04</t>
  </si>
  <si>
    <t>Notebook A5</t>
  </si>
  <si>
    <t>Stationery</t>
  </si>
  <si>
    <t>P05</t>
  </si>
  <si>
    <t>Gel Pen Pack</t>
  </si>
  <si>
    <t>P06</t>
  </si>
  <si>
    <t>Desk Lamp</t>
  </si>
  <si>
    <t>Furniture</t>
  </si>
  <si>
    <t>P07</t>
  </si>
  <si>
    <t>Office Chair</t>
  </si>
  <si>
    <t>P08</t>
  </si>
  <si>
    <t>Water Bottle</t>
  </si>
  <si>
    <t>Lifestyle</t>
  </si>
  <si>
    <t>P09</t>
  </si>
  <si>
    <t>Backpack</t>
  </si>
  <si>
    <t>P10</t>
  </si>
  <si>
    <t>Monitor Stand</t>
  </si>
  <si>
    <t>Orders</t>
  </si>
  <si>
    <t>OrderID</t>
  </si>
  <si>
    <t>Order Date</t>
  </si>
  <si>
    <t>Customer Name</t>
  </si>
  <si>
    <t>Quantity</t>
  </si>
  <si>
    <t>Unit Price (lookup)</t>
  </si>
  <si>
    <t>Line Total</t>
  </si>
  <si>
    <t>Order Month</t>
  </si>
  <si>
    <t>Days Since Order</t>
  </si>
  <si>
    <t>Practice Questions — Days 8-14</t>
  </si>
  <si>
    <t>O0001</t>
  </si>
  <si>
    <t>Leena</t>
  </si>
  <si>
    <t>1. Day 8: In 'Unit Price (lookup)' use XLOOKUP to pull each order's Unit Price from the Products table by matching ProductID.</t>
  </si>
  <si>
    <t>O0002</t>
  </si>
  <si>
    <t>Tom</t>
  </si>
  <si>
    <t>2. Day 9: In a spare column, redo the same lookup with VLOOKUP instead, and compare — note why VLOOKUP breaks if you insert a column inside the Products table but XLOOKUP/INDEX+MATCH don't.</t>
  </si>
  <si>
    <t>O0003</t>
  </si>
  <si>
    <t>Fatima</t>
  </si>
  <si>
    <t>3. Day 10: In another spare column, redo it again with INDEX + MATCH.</t>
  </si>
  <si>
    <t>O0004</t>
  </si>
  <si>
    <t>4. Day 10: In 'Line Total' multiply Quantity by the looked-up Unit Price.</t>
  </si>
  <si>
    <t>O0005</t>
  </si>
  <si>
    <t>5. Day 11: Fill the two SUMIF / SUMIFS boxes below the table.</t>
  </si>
  <si>
    <t>O0006</t>
  </si>
  <si>
    <t>Nadia</t>
  </si>
  <si>
    <t>6. Day 12: Fill the two COUNTIF / COUNTIFS boxes below the table.</t>
  </si>
  <si>
    <t>O0007</t>
  </si>
  <si>
    <t>7. Day 13: In 'Order Month' extract the month name from Order Date (TEXT or MONTH). In 'Days Since Order' compute TODAY() minus Order Date.</t>
  </si>
  <si>
    <t>O0008</t>
  </si>
  <si>
    <t>Sara</t>
  </si>
  <si>
    <t>8. Day 14: Using everything above, find: (a) which single order has the highest Line Total, (b) total revenue for the 'Furniture' category across all orders, (c) how many distinct customers ordered from the 'West' region.</t>
  </si>
  <si>
    <t>O0009</t>
  </si>
  <si>
    <t>Wei</t>
  </si>
  <si>
    <t>O0010</t>
  </si>
  <si>
    <t>O0011</t>
  </si>
  <si>
    <t>O0012</t>
  </si>
  <si>
    <t>O0013</t>
  </si>
  <si>
    <t>O0014</t>
  </si>
  <si>
    <t>O0015</t>
  </si>
  <si>
    <t>John</t>
  </si>
  <si>
    <t>O0016</t>
  </si>
  <si>
    <t>O0017</t>
  </si>
  <si>
    <t>O0018</t>
  </si>
  <si>
    <t>O0019</t>
  </si>
  <si>
    <t>O0020</t>
  </si>
  <si>
    <t>Amit</t>
  </si>
  <si>
    <t>O0021</t>
  </si>
  <si>
    <t>O0022</t>
  </si>
  <si>
    <t>Ben</t>
  </si>
  <si>
    <t>O0023</t>
  </si>
  <si>
    <t>O0024</t>
  </si>
  <si>
    <t>O0025</t>
  </si>
  <si>
    <t>O0026</t>
  </si>
  <si>
    <t>O0027</t>
  </si>
  <si>
    <t>O0028</t>
  </si>
  <si>
    <t>O0029</t>
  </si>
  <si>
    <t>O0030</t>
  </si>
  <si>
    <t>Total Quantity — Region 'North' (SUMIF):</t>
  </si>
  <si>
    <t>Total Quantity — 'North' AND Product 'P01' (SUMIFS):</t>
  </si>
  <si>
    <t>Count of orders from 'Amit' (COUNTIF):</t>
  </si>
  <si>
    <t>Count of orders 'Amit' AND Region 'North' (COUNTIFS):</t>
  </si>
  <si>
    <t>Week 3 Data — Messy Sales Log (clean this up!)</t>
  </si>
  <si>
    <t>On purpose: inconsistent capitalisation, extra spaces, blank Amount cells, and duplicate rows. Days 15-20 have you turn this into a clean Table, then build PivotTables/Charts/Slicers from it.</t>
  </si>
  <si>
    <t>Order ID</t>
  </si>
  <si>
    <t>Product</t>
  </si>
  <si>
    <t>Sale Date</t>
  </si>
  <si>
    <t>Amount</t>
  </si>
  <si>
    <t>Practice Questions — Days 15-20</t>
  </si>
  <si>
    <t>S0001</t>
  </si>
  <si>
    <t>1. Day 15: Select the data and Insert &gt; Table (Ctrl+T). Rename it 'SalesLog'. Notice how headers now have filter arrows automatically.</t>
  </si>
  <si>
    <t>S0002</t>
  </si>
  <si>
    <t>2. Day 15/20: Clean the data first — trim extra spaces from Customer Name (TRIM), make capitalisation consistent (PROPER), make Region consistent (UPPER or PROPER), fill/flag blank Amount cells, and remove the duplicate rows at the bottom.</t>
  </si>
  <si>
    <t>S0003</t>
  </si>
  <si>
    <t>north</t>
  </si>
  <si>
    <t>3. Day 16: Apply Conditional Formatting to Amount — colour scale for magnitude, plus a rule that highlights any Amount below 500 in red.</t>
  </si>
  <si>
    <t>S0004</t>
  </si>
  <si>
    <t>south</t>
  </si>
  <si>
    <t>4. Day 17: Build a PivotTable (new sheet) showing Total Amount by Category, broken down by Region in the columns.</t>
  </si>
  <si>
    <t>S0005</t>
  </si>
  <si>
    <t>Nadia Hussain</t>
  </si>
  <si>
    <t>east</t>
  </si>
  <si>
    <t>5. Day 18: From that PivotTable, insert a PivotChart (clustered column) showing the same breakdown visually.</t>
  </si>
  <si>
    <t>S0006</t>
  </si>
  <si>
    <t>6. Day 19: Add a Slicer for Region (and another for Category) connected to the PivotTable, and try filtering the chart interactively.</t>
  </si>
  <si>
    <t>S0007</t>
  </si>
  <si>
    <t>7. Day 20: Write down, in a couple of sentences, every cleaning issue you found in this sheet and how you fixed each one — this is the habit that matters most on real data.</t>
  </si>
  <si>
    <t>S0008</t>
  </si>
  <si>
    <t>S0009</t>
  </si>
  <si>
    <t>S0010</t>
  </si>
  <si>
    <t>S0011</t>
  </si>
  <si>
    <t>S0012</t>
  </si>
  <si>
    <t>S0013</t>
  </si>
  <si>
    <t>S0014</t>
  </si>
  <si>
    <t>Sara Ali</t>
  </si>
  <si>
    <t>S0015</t>
  </si>
  <si>
    <t>S0016</t>
  </si>
  <si>
    <t>S0017</t>
  </si>
  <si>
    <t>S0018</t>
  </si>
  <si>
    <t>S0019</t>
  </si>
  <si>
    <t>S0020</t>
  </si>
  <si>
    <t>west</t>
  </si>
  <si>
    <t>S0021</t>
  </si>
  <si>
    <t>S0022</t>
  </si>
  <si>
    <t>S0023</t>
  </si>
  <si>
    <t>S0024</t>
  </si>
  <si>
    <t>S0025</t>
  </si>
  <si>
    <t>S0026</t>
  </si>
  <si>
    <t>S0027</t>
  </si>
  <si>
    <t>S0028</t>
  </si>
  <si>
    <t>S0029</t>
  </si>
  <si>
    <t>S0030</t>
  </si>
  <si>
    <t>S0031</t>
  </si>
  <si>
    <t>S0032</t>
  </si>
  <si>
    <t>S0033</t>
  </si>
  <si>
    <t>S0034</t>
  </si>
  <si>
    <t>S0035</t>
  </si>
  <si>
    <t>S0036</t>
  </si>
  <si>
    <t>S0037</t>
  </si>
  <si>
    <t>S0038</t>
  </si>
  <si>
    <t>S0039</t>
  </si>
  <si>
    <t>S0040</t>
  </si>
  <si>
    <t>S0041</t>
  </si>
  <si>
    <t>S0042</t>
  </si>
  <si>
    <t>S0043</t>
  </si>
  <si>
    <t>S0044</t>
  </si>
  <si>
    <t>S0045</t>
  </si>
  <si>
    <t>S0046</t>
  </si>
  <si>
    <t>S0047</t>
  </si>
  <si>
    <t>S0048</t>
  </si>
  <si>
    <t>S0049</t>
  </si>
  <si>
    <t>S0050</t>
  </si>
  <si>
    <t>Answer Key — approach for every question (don't peek early!)</t>
  </si>
  <si>
    <t>Week 1 (Days 1-7)</t>
  </si>
  <si>
    <t>Day 2 Total/Avg</t>
  </si>
  <si>
    <t xml:space="preserve">   -&gt; Total: SUM(E2:G2).  Avg: AVERAGE(E2:G2).  Sheet-wide: SUM/AVERAGE/MIN/MAX/COUNT applied to the whole Total column.</t>
  </si>
  <si>
    <t>Day 3 IF</t>
  </si>
  <si>
    <t xml:space="preserve">   -&gt; IF(TotalCell&gt;150000,"Yes","No")</t>
  </si>
  <si>
    <t>Day 3 AND/OR</t>
  </si>
  <si>
    <t xml:space="preserve">   -&gt; IF(AND(TotalCell&gt;150000,OR(Region="North",Region="South")),"Yes","No")</t>
  </si>
  <si>
    <t>Day 4 % of total</t>
  </si>
  <si>
    <t xml:space="preserve">   -&gt; TotalCell/$K$26 (absolute reference to the grand-total cell so it doesn't shift when copied down).</t>
  </si>
  <si>
    <t>Day 5 sort/filter/dedupe</t>
  </si>
  <si>
    <t xml:space="preserve">   -&gt; Data tab &gt; Sort (Total Sales, descending). Data tab &gt; Filter, pick 'Sales' under Department. Select the range with the two duplicate rows &gt; Data &gt; Remove Duplicates.</t>
  </si>
  <si>
    <t>Day 6 text functions</t>
  </si>
  <si>
    <t xml:space="preserve">   -&gt; Region code: MID(code,1,2) or LEFT(code,2). Dept code: MID(code,4,3). Name length: LEN(FullName).</t>
  </si>
  <si>
    <t>Week 2 (Days 8-14)</t>
  </si>
  <si>
    <t>Day 8 XLOOKUP</t>
  </si>
  <si>
    <t xml:space="preserve">   -&gt; =XLOOKUP(ProductID, Products!A:A, Products!D:D)</t>
  </si>
  <si>
    <t>Day 9 VLOOKUP</t>
  </si>
  <si>
    <t xml:space="preserve">   -&gt; =VLOOKUP(ProductID, Products!A:D, 4, FALSE)  — breaks if a column is inserted inside the table because '4' is a fixed position.</t>
  </si>
  <si>
    <t>Day 10 INDEX+MATCH</t>
  </si>
  <si>
    <t xml:space="preserve">   -&gt; =INDEX(Products!D:D, MATCH(ProductID, Products!A:A, 0))  — doesn't break when columns are inserted, and can look leftwards unlike VLOOKUP.</t>
  </si>
  <si>
    <t>Day 10 Line Total</t>
  </si>
  <si>
    <t xml:space="preserve">   -&gt; =Quantity * [Unit Price (lookup)]</t>
  </si>
  <si>
    <t>Day 11 SUMIF/SUMIFS</t>
  </si>
  <si>
    <t xml:space="preserve">   -&gt; =SUMIF(Region range,"North",Quantity range).  =SUMIFS(Quantity range, Region range,"North", ProductID range,"P01")</t>
  </si>
  <si>
    <t>Day 12 COUNTIF/COUNTIFS</t>
  </si>
  <si>
    <t xml:space="preserve">   -&gt; =COUNTIF(Customer range,"Amit").  =COUNTIFS(Customer range,"Amit", Region range,"North")</t>
  </si>
  <si>
    <t>Day 13 dates</t>
  </si>
  <si>
    <t xml:space="preserve">   -&gt; Month: =TEXT(OrderDate,"mmmm") or =MONTH(OrderDate).  Days since: =TODAY()-OrderDate</t>
  </si>
  <si>
    <t>Day 14 combine</t>
  </si>
  <si>
    <t xml:space="preserve">   -&gt; Max Line Total: =MAX(LineTotal range), or INDEX/MATCH the row. Category revenue: SUMIFS with a helper lookup of Category per order. Distinct customers: COUNTIFS per customer, or a PivotTable with Distinct Count.</t>
  </si>
  <si>
    <t>Week 3 (Days 15-20)</t>
  </si>
  <si>
    <t>Day 15 Table</t>
  </si>
  <si>
    <t xml:space="preserve">   -&gt; Ctrl+T, check 'My table has headers', rename via Table Design &gt; Table Name.</t>
  </si>
  <si>
    <t>Day 15/20 cleaning</t>
  </si>
  <si>
    <t xml:space="preserve">   -&gt; =TRIM(A2) to strip spaces, =PROPER(TRIM(A2)) for consistent capitalisation, =UPPER(Region) for consistent region codes, filter Amount for blanks and decide fill-with-0 vs investigate, then Remove Duplicates on the whole table.</t>
  </si>
  <si>
    <t>Day 16 conditional formatting</t>
  </si>
  <si>
    <t xml:space="preserve">   -&gt; Home &gt; Conditional Formatting &gt; Color Scales for Amount; New Rule &gt; 'Less Than 500' &gt; red fill for the second rule.</t>
  </si>
  <si>
    <t>Day 17 PivotTable</t>
  </si>
  <si>
    <t xml:space="preserve">   -&gt; Insert &gt; PivotTable. Rows: Category. Columns: Region. Values: Sum of Amount.</t>
  </si>
  <si>
    <t>Day 18 PivotChart</t>
  </si>
  <si>
    <t xml:space="preserve">   -&gt; Select the PivotTable &gt; Insert &gt; PivotChart &gt; Clustered Column.</t>
  </si>
  <si>
    <t>Day 19 Slicers</t>
  </si>
  <si>
    <t xml:space="preserve">   -&gt; PivotTable Analyze &gt; Insert Slicer &gt; tick Region and Category.</t>
  </si>
  <si>
    <t>Bonus elegiblitiy</t>
  </si>
  <si>
    <t>length</t>
  </si>
  <si>
    <t>vlook up</t>
  </si>
  <si>
    <t>index/match</t>
  </si>
  <si>
    <t>category</t>
  </si>
  <si>
    <t>Wei Chen</t>
  </si>
  <si>
    <t>Leena Rao</t>
  </si>
  <si>
    <t>John Doe</t>
  </si>
  <si>
    <t>Fatima Khan</t>
  </si>
  <si>
    <t>Carlos Garcia</t>
  </si>
  <si>
    <t>Tom Smith</t>
  </si>
  <si>
    <t>Amit Sharma</t>
  </si>
  <si>
    <t>Ben Cole</t>
  </si>
  <si>
    <t>N/A</t>
  </si>
  <si>
    <t>Row Labels</t>
  </si>
  <si>
    <t>Grand Total</t>
  </si>
  <si>
    <t>Count of Amount</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</si>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</sst>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7" x14ac:knownFonts="1">
    <font>
      <sz val="11"/>
      <color theme="1"/>
      <name val="Calibri"/>
      <family val="2"/>
      <scheme val="minor"/>
    </font>
    <font>
      <b/>
      <sz val="14"/>
      <color rgb="FF1F4E78"/>
      <name val="Arial"/>
    </font>
    <font>
      <b/>
      <sz val="11"/>
      <color rgb="FF1F4E78"/>
      <name val="Arial"/>
    </font>
    <font>
      <sz val="10"/>
      <name val="Arial"/>
    </font>
    <font>
      <b/>
      <sz val="11"/>
      <color rgb="FFFFFFFF"/>
      <name val="Arial"/>
    </font>
    <font>
      <b/>
      <sz val="10"/>
      <name val="Arial"/>
    </font>
    <font>
      <sz val="11"/>
      <color theme="1"/>
      <name val="Calibri"/>
      <family val="2"/>
      <scheme val="minor"/>
    </font>
  </fonts>
  <fills count="4">
    <fill>
      <patternFill patternType="none"/>
    </fill>
    <fill>
      <patternFill patternType="gray125"/>
    </fill>
    <fill>
      <patternFill patternType="solid">
        <fgColor rgb="FF1F4E78"/>
      </patternFill>
    </fill>
    <fill>
      <patternFill patternType="solid">
        <fgColor rgb="FFFFF2CC"/>
      </patternFill>
    </fill>
  </fills>
  <borders count="8">
    <border>
      <left/>
      <right/>
      <top/>
      <bottom/>
      <diagonal/>
    </border>
    <border>
      <left style="thin">
        <color rgb="FFB7B7B7"/>
      </left>
      <right style="thin">
        <color rgb="FFB7B7B7"/>
      </right>
      <top style="thin">
        <color rgb="FFB7B7B7"/>
      </top>
      <bottom style="thin">
        <color rgb="FFB7B7B7"/>
      </bottom>
      <diagonal/>
    </border>
    <border>
      <left style="thin">
        <color rgb="FFB7B7B7"/>
      </left>
      <right style="thin">
        <color rgb="FFB7B7B7"/>
      </right>
      <top/>
      <bottom/>
      <diagonal/>
    </border>
    <border>
      <left/>
      <right style="thin">
        <color rgb="FFB7B7B7"/>
      </right>
      <top style="thin">
        <color rgb="FFB7B7B7"/>
      </top>
      <bottom style="thin">
        <color rgb="FFB7B7B7"/>
      </bottom>
      <diagonal/>
    </border>
    <border>
      <left style="thin">
        <color rgb="FFB7B7B7"/>
      </left>
      <right/>
      <top style="thin">
        <color rgb="FFB7B7B7"/>
      </top>
      <bottom style="thin">
        <color rgb="FFB7B7B7"/>
      </bottom>
      <diagonal/>
    </border>
    <border>
      <left/>
      <right style="thin">
        <color rgb="FFB7B7B7"/>
      </right>
      <top/>
      <bottom style="thin">
        <color rgb="FFB7B7B7"/>
      </bottom>
      <diagonal/>
    </border>
    <border>
      <left style="thin">
        <color rgb="FFB7B7B7"/>
      </left>
      <right style="thin">
        <color rgb="FFB7B7B7"/>
      </right>
      <top/>
      <bottom style="thin">
        <color rgb="FFB7B7B7"/>
      </bottom>
      <diagonal/>
    </border>
    <border>
      <left style="thin">
        <color rgb="FFB7B7B7"/>
      </left>
      <right/>
      <top/>
      <bottom style="thin">
        <color rgb="FFB7B7B7"/>
      </bottom>
      <diagonal/>
    </border>
  </borders>
  <cellStyleXfs count="2">
    <xf numFmtId="0" fontId="0" fillId="0" borderId="0"/>
    <xf numFmtId="9" fontId="6" fillId="0" borderId="0" applyFont="0" applyFill="0" applyBorder="0" applyAlignment="0" applyProtection="0"/>
  </cellStyleXfs>
  <cellXfs count="24">
    <xf numFmtId="0" fontId="0" fillId="0" borderId="0" xfId="0"/>
    <xf numFmtId="0" fontId="1" fillId="0" borderId="0" xfId="0" applyFont="1"/>
    <xf numFmtId="0" fontId="2" fillId="0" borderId="0" xfId="0" applyFont="1"/>
    <xf numFmtId="0" fontId="3" fillId="0" borderId="0" xfId="0" applyFont="1"/>
    <xf numFmtId="0" fontId="4" fillId="2" borderId="1" xfId="0" applyFont="1" applyFill="1" applyBorder="1" applyAlignment="1">
      <alignment horizontal="center" vertical="center"/>
    </xf>
    <xf numFmtId="0" fontId="3" fillId="0" borderId="1" xfId="0" applyFont="1" applyBorder="1"/>
    <xf numFmtId="0" fontId="0" fillId="3" borderId="1" xfId="0" applyFill="1" applyBorder="1"/>
    <xf numFmtId="0" fontId="3" fillId="0" borderId="0" xfId="0" applyFont="1" applyAlignment="1">
      <alignment vertical="top" wrapText="1"/>
    </xf>
    <xf numFmtId="0" fontId="5" fillId="0" borderId="0" xfId="0" applyFont="1"/>
    <xf numFmtId="164" fontId="3" fillId="0" borderId="1" xfId="0" applyNumberFormat="1" applyFont="1" applyBorder="1"/>
    <xf numFmtId="1" fontId="0" fillId="3" borderId="1" xfId="0" applyNumberFormat="1" applyFill="1" applyBorder="1"/>
    <xf numFmtId="10" fontId="0" fillId="3" borderId="1" xfId="0" applyNumberFormat="1" applyFill="1" applyBorder="1"/>
    <xf numFmtId="10" fontId="0" fillId="3" borderId="1" xfId="1" applyNumberFormat="1" applyFont="1" applyFill="1" applyBorder="1"/>
    <xf numFmtId="0" fontId="4" fillId="2" borderId="2" xfId="0" applyFont="1" applyFill="1" applyBorder="1" applyAlignment="1">
      <alignment horizontal="center" vertical="center"/>
    </xf>
    <xf numFmtId="0" fontId="0" fillId="3" borderId="1" xfId="0" applyNumberFormat="1" applyFill="1" applyBorder="1"/>
    <xf numFmtId="0" fontId="3" fillId="0" borderId="3" xfId="0" applyFont="1" applyBorder="1"/>
    <xf numFmtId="0" fontId="3" fillId="0" borderId="4" xfId="0" applyFont="1" applyBorder="1"/>
    <xf numFmtId="4" fontId="3" fillId="0" borderId="4" xfId="0" applyNumberFormat="1" applyFont="1" applyBorder="1"/>
    <xf numFmtId="0" fontId="4" fillId="2" borderId="5" xfId="0" applyFont="1" applyFill="1" applyBorder="1" applyAlignment="1">
      <alignment horizontal="center" vertical="center"/>
    </xf>
    <xf numFmtId="0" fontId="4" fillId="2" borderId="6" xfId="0" applyFont="1" applyFill="1" applyBorder="1" applyAlignment="1">
      <alignment horizontal="center" vertical="center"/>
    </xf>
    <xf numFmtId="0" fontId="4" fillId="2" borderId="7" xfId="0" applyFont="1" applyFill="1" applyBorder="1" applyAlignment="1">
      <alignment horizontal="center" vertical="center"/>
    </xf>
    <xf numFmtId="0" fontId="0" fillId="0" borderId="0" xfId="0" pivotButton="1"/>
    <xf numFmtId="0" fontId="0" fillId="0" borderId="0" xfId="0" applyAlignment="1">
      <alignment horizontal="left"/>
    </xf>
    <xf numFmtId="0" fontId="0" fillId="0" borderId="0" xfId="0" applyNumberFormat="1"/>
  </cellXfs>
  <cellStyles count="2">
    <cellStyle name="Normal" xfId="0" builtinId="0"/>
    <cellStyle name="Percent" xfId="1" builtinId="5"/>
  </cellStyles>
  <dxfs count="14">
    <dxf>
      <font>
        <color rgb="FFFF0000"/>
      </font>
    </dxf>
    <dxf>
      <font>
        <color rgb="FFFF0000"/>
      </font>
    </dxf>
    <dxf>
      <font>
        <b/>
        <i val="0"/>
        <strike val="0"/>
        <condense val="0"/>
        <extend val="0"/>
        <outline val="0"/>
        <shadow val="0"/>
        <u val="none"/>
        <vertAlign val="baseline"/>
        <sz val="11"/>
        <color rgb="FFFFFFFF"/>
        <name val="Arial"/>
        <scheme val="none"/>
      </font>
      <fill>
        <patternFill patternType="solid">
          <fgColor indexed="64"/>
          <bgColor rgb="FF1F4E78"/>
        </patternFill>
      </fill>
      <alignment horizontal="center" vertical="center" textRotation="0" wrapText="0" indent="0" justifyLastLine="0" shrinkToFit="0" readingOrder="0"/>
      <border diagonalUp="0" diagonalDown="0" outline="0">
        <left style="thin">
          <color rgb="FFB7B7B7"/>
        </left>
        <right style="thin">
          <color rgb="FFB7B7B7"/>
        </right>
        <top/>
        <bottom/>
      </border>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4" formatCode="#,##0.00"/>
      <border diagonalUp="0" diagonalDown="0">
        <left style="thin">
          <color rgb="FFB7B7B7"/>
        </left>
        <right/>
        <top style="thin">
          <color rgb="FFB7B7B7"/>
        </top>
        <bottom style="thin">
          <color rgb="FFB7B7B7"/>
        </bottom>
        <vertical/>
        <horizontal/>
      </border>
    </dxf>
    <dxf>
      <font>
        <b val="0"/>
        <i val="0"/>
        <strike val="0"/>
        <condense val="0"/>
        <extend val="0"/>
        <outline val="0"/>
        <shadow val="0"/>
        <u val="none"/>
        <vertAlign val="baseline"/>
        <sz val="10"/>
        <color auto="1"/>
        <name val="Arial"/>
        <scheme val="none"/>
      </font>
      <numFmt numFmtId="164" formatCode="dd\-mmm\-yyyy"/>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auto="1"/>
        <name val="Arial"/>
        <scheme val="none"/>
      </font>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auto="1"/>
        <name val="Arial"/>
        <scheme val="none"/>
      </font>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auto="1"/>
        <name val="Arial"/>
        <scheme val="none"/>
      </font>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auto="1"/>
        <name val="Arial"/>
        <scheme val="none"/>
      </font>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auto="1"/>
        <name val="Arial"/>
        <scheme val="none"/>
      </font>
      <border diagonalUp="0" diagonalDown="0">
        <left/>
        <right style="thin">
          <color rgb="FFB7B7B7"/>
        </right>
        <top style="thin">
          <color rgb="FFB7B7B7"/>
        </top>
        <bottom style="thin">
          <color rgb="FFB7B7B7"/>
        </bottom>
        <vertical/>
        <horizontal/>
      </border>
    </dxf>
    <dxf>
      <border outline="0">
        <top style="thin">
          <color rgb="FFB7B7B7"/>
        </top>
      </border>
    </dxf>
    <dxf>
      <border outline="0">
        <bottom style="thin">
          <color rgb="FFB7B7B7"/>
        </bottom>
      </border>
    </dxf>
    <dxf>
      <border outline="0">
        <left style="thin">
          <color rgb="FFB7B7B7"/>
        </left>
        <right style="thin">
          <color rgb="FFB7B7B7"/>
        </right>
        <top style="thin">
          <color rgb="FFB7B7B7"/>
        </top>
        <bottom style="thin">
          <color rgb="FFB7B7B7"/>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[excel_practice_workbook 3weeks.xlsx]Sheet1!PivotTable1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Sheet1!$B$3:$B$4</c:f>
              <c:strCache>
                <c:ptCount val="1"/>
                <c:pt idx="0">
                  <c:v>East</c:v>
                </c:pt>
              </c:strCache>
            </c:strRef>
          </c:tx>
          <c:spPr>
            <a:solidFill>
              <a:schemeClr val="accent1"/>
            </a:solidFill>
            <a:ln>
              <a:noFill/>
            </a:ln>
            <a:effectLst/>
          </c:spPr>
          <c:invertIfNegative val="0"/>
          <c:cat>
            <c:strRef>
              <c:f>Sheet1!$A$5:$A$9</c:f>
              <c:strCache>
                <c:ptCount val="4"/>
                <c:pt idx="0">
                  <c:v>Electronics</c:v>
                </c:pt>
                <c:pt idx="1">
                  <c:v>Furniture</c:v>
                </c:pt>
                <c:pt idx="2">
                  <c:v>Lifestyle</c:v>
                </c:pt>
                <c:pt idx="3">
                  <c:v>Stationery</c:v>
                </c:pt>
              </c:strCache>
            </c:strRef>
          </c:cat>
          <c:val>
            <c:numRef>
              <c:f>Sheet1!$B$5:$B$9</c:f>
              <c:numCache>
                <c:formatCode>General</c:formatCode>
                <c:ptCount val="4"/>
                <c:pt idx="0">
                  <c:v>2</c:v>
                </c:pt>
                <c:pt idx="1">
                  <c:v>6</c:v>
                </c:pt>
                <c:pt idx="2">
                  <c:v>1</c:v>
                </c:pt>
                <c:pt idx="3">
                  <c:v>3</c:v>
                </c:pt>
              </c:numCache>
            </c:numRef>
          </c:val>
          <c:extLst>
            <c:ext xmlns:c16="http://schemas.microsoft.com/office/drawing/2014/chart" uri="{C3380CC4-5D6E-409C-BE32-E72D297353CC}">
              <c16:uniqueId val="{00000000-EF96-4B04-AE14-51CA5344D121}"/>
            </c:ext>
          </c:extLst>
        </c:ser>
        <c:ser>
          <c:idx val="1"/>
          <c:order val="1"/>
          <c:tx>
            <c:strRef>
              <c:f>Sheet1!$C$3:$C$4</c:f>
              <c:strCache>
                <c:ptCount val="1"/>
                <c:pt idx="0">
                  <c:v>north</c:v>
                </c:pt>
              </c:strCache>
            </c:strRef>
          </c:tx>
          <c:spPr>
            <a:solidFill>
              <a:schemeClr val="accent2"/>
            </a:solidFill>
            <a:ln>
              <a:noFill/>
            </a:ln>
            <a:effectLst/>
          </c:spPr>
          <c:invertIfNegative val="0"/>
          <c:cat>
            <c:strRef>
              <c:f>Sheet1!$A$5:$A$9</c:f>
              <c:strCache>
                <c:ptCount val="4"/>
                <c:pt idx="0">
                  <c:v>Electronics</c:v>
                </c:pt>
                <c:pt idx="1">
                  <c:v>Furniture</c:v>
                </c:pt>
                <c:pt idx="2">
                  <c:v>Lifestyle</c:v>
                </c:pt>
                <c:pt idx="3">
                  <c:v>Stationery</c:v>
                </c:pt>
              </c:strCache>
            </c:strRef>
          </c:cat>
          <c:val>
            <c:numRef>
              <c:f>Sheet1!$C$5:$C$9</c:f>
              <c:numCache>
                <c:formatCode>General</c:formatCode>
                <c:ptCount val="4"/>
                <c:pt idx="0">
                  <c:v>3</c:v>
                </c:pt>
                <c:pt idx="1">
                  <c:v>2</c:v>
                </c:pt>
                <c:pt idx="2">
                  <c:v>2</c:v>
                </c:pt>
                <c:pt idx="3">
                  <c:v>1</c:v>
                </c:pt>
              </c:numCache>
            </c:numRef>
          </c:val>
          <c:extLst>
            <c:ext xmlns:c16="http://schemas.microsoft.com/office/drawing/2014/chart" uri="{C3380CC4-5D6E-409C-BE32-E72D297353CC}">
              <c16:uniqueId val="{00000007-EF96-4B04-AE14-51CA5344D121}"/>
            </c:ext>
          </c:extLst>
        </c:ser>
        <c:ser>
          <c:idx val="2"/>
          <c:order val="2"/>
          <c:tx>
            <c:strRef>
              <c:f>Sheet1!$D$3:$D$4</c:f>
              <c:strCache>
                <c:ptCount val="1"/>
                <c:pt idx="0">
                  <c:v>south</c:v>
                </c:pt>
              </c:strCache>
            </c:strRef>
          </c:tx>
          <c:spPr>
            <a:solidFill>
              <a:schemeClr val="accent3"/>
            </a:solidFill>
            <a:ln>
              <a:noFill/>
            </a:ln>
            <a:effectLst/>
          </c:spPr>
          <c:invertIfNegative val="0"/>
          <c:cat>
            <c:strRef>
              <c:f>Sheet1!$A$5:$A$9</c:f>
              <c:strCache>
                <c:ptCount val="4"/>
                <c:pt idx="0">
                  <c:v>Electronics</c:v>
                </c:pt>
                <c:pt idx="1">
                  <c:v>Furniture</c:v>
                </c:pt>
                <c:pt idx="2">
                  <c:v>Lifestyle</c:v>
                </c:pt>
                <c:pt idx="3">
                  <c:v>Stationery</c:v>
                </c:pt>
              </c:strCache>
            </c:strRef>
          </c:cat>
          <c:val>
            <c:numRef>
              <c:f>Sheet1!$D$5:$D$9</c:f>
              <c:numCache>
                <c:formatCode>General</c:formatCode>
                <c:ptCount val="4"/>
                <c:pt idx="0">
                  <c:v>4</c:v>
                </c:pt>
                <c:pt idx="1">
                  <c:v>3</c:v>
                </c:pt>
                <c:pt idx="2">
                  <c:v>3</c:v>
                </c:pt>
                <c:pt idx="3">
                  <c:v>4</c:v>
                </c:pt>
              </c:numCache>
            </c:numRef>
          </c:val>
          <c:extLst>
            <c:ext xmlns:c16="http://schemas.microsoft.com/office/drawing/2014/chart" uri="{C3380CC4-5D6E-409C-BE32-E72D297353CC}">
              <c16:uniqueId val="{00000008-EF96-4B04-AE14-51CA5344D121}"/>
            </c:ext>
          </c:extLst>
        </c:ser>
        <c:ser>
          <c:idx val="3"/>
          <c:order val="3"/>
          <c:tx>
            <c:strRef>
              <c:f>Sheet1!$E$3:$E$4</c:f>
              <c:strCache>
                <c:ptCount val="1"/>
                <c:pt idx="0">
                  <c:v>West</c:v>
                </c:pt>
              </c:strCache>
            </c:strRef>
          </c:tx>
          <c:spPr>
            <a:solidFill>
              <a:schemeClr val="accent4"/>
            </a:solidFill>
            <a:ln>
              <a:noFill/>
            </a:ln>
            <a:effectLst/>
          </c:spPr>
          <c:invertIfNegative val="0"/>
          <c:cat>
            <c:strRef>
              <c:f>Sheet1!$A$5:$A$9</c:f>
              <c:strCache>
                <c:ptCount val="4"/>
                <c:pt idx="0">
                  <c:v>Electronics</c:v>
                </c:pt>
                <c:pt idx="1">
                  <c:v>Furniture</c:v>
                </c:pt>
                <c:pt idx="2">
                  <c:v>Lifestyle</c:v>
                </c:pt>
                <c:pt idx="3">
                  <c:v>Stationery</c:v>
                </c:pt>
              </c:strCache>
            </c:strRef>
          </c:cat>
          <c:val>
            <c:numRef>
              <c:f>Sheet1!$E$5:$E$9</c:f>
              <c:numCache>
                <c:formatCode>General</c:formatCode>
                <c:ptCount val="4"/>
                <c:pt idx="0">
                  <c:v>6</c:v>
                </c:pt>
                <c:pt idx="1">
                  <c:v>4</c:v>
                </c:pt>
                <c:pt idx="2">
                  <c:v>4</c:v>
                </c:pt>
                <c:pt idx="3">
                  <c:v>2</c:v>
                </c:pt>
              </c:numCache>
            </c:numRef>
          </c:val>
          <c:extLst>
            <c:ext xmlns:c16="http://schemas.microsoft.com/office/drawing/2014/chart" uri="{C3380CC4-5D6E-409C-BE32-E72D297353CC}">
              <c16:uniqueId val="{00000009-EF96-4B04-AE14-51CA5344D121}"/>
            </c:ext>
          </c:extLst>
        </c:ser>
        <c:dLbls>
          <c:showLegendKey val="0"/>
          <c:showVal val="0"/>
          <c:showCatName val="0"/>
          <c:showSerName val="0"/>
          <c:showPercent val="0"/>
          <c:showBubbleSize val="0"/>
        </c:dLbls>
        <c:gapWidth val="219"/>
        <c:overlap val="-27"/>
        <c:axId val="574614320"/>
        <c:axId val="224746960"/>
      </c:barChart>
      <c:catAx>
        <c:axId val="574614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746960"/>
        <c:crosses val="autoZero"/>
        <c:auto val="1"/>
        <c:lblAlgn val="ctr"/>
        <c:lblOffset val="100"/>
        <c:noMultiLvlLbl val="0"/>
      </c:catAx>
      <c:valAx>
        <c:axId val="224746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614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693420</xdr:colOff>
      <xdr:row>2</xdr:row>
      <xdr:rowOff>95250</xdr:rowOff>
    </xdr:from>
    <xdr:to>
      <xdr:col>13</xdr:col>
      <xdr:colOff>259080</xdr:colOff>
      <xdr:row>17</xdr:row>
      <xdr:rowOff>95250</xdr:rowOff>
    </xdr:to>
    <xdr:graphicFrame macro="">
      <xdr:nvGraphicFramePr>
        <xdr:cNvPr id="2" name="Chart 1">
          <a:extLst>
            <a:ext uri="{FF2B5EF4-FFF2-40B4-BE49-F238E27FC236}">
              <a16:creationId xmlns:a16="http://schemas.microsoft.com/office/drawing/2014/main" id="{80640D7F-5144-B68E-30FF-E933AB0E18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228600</xdr:colOff>
      <xdr:row>5</xdr:row>
      <xdr:rowOff>45721</xdr:rowOff>
    </xdr:from>
    <xdr:to>
      <xdr:col>20</xdr:col>
      <xdr:colOff>556260</xdr:colOff>
      <xdr:row>14</xdr:row>
      <xdr:rowOff>181457</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48EDFB55-E00E-C79D-D4B5-7A0B047BE94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574780" y="960121"/>
              <a:ext cx="1546860" cy="17816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60960</xdr:colOff>
      <xdr:row>5</xdr:row>
      <xdr:rowOff>91441</xdr:rowOff>
    </xdr:from>
    <xdr:to>
      <xdr:col>17</xdr:col>
      <xdr:colOff>388620</xdr:colOff>
      <xdr:row>15</xdr:row>
      <xdr:rowOff>60961</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36020CA5-B02E-8FE4-E8F9-7177F959ADD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578340" y="1005841"/>
              <a:ext cx="1546860" cy="1798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ket" refreshedDate="46288.907513078702" createdVersion="8" refreshedVersion="8" minRefreshableVersion="3" recordCount="50" xr:uid="{0B9E101F-DCF9-45DB-9DCD-4F0287E560E8}">
  <cacheSource type="worksheet">
    <worksheetSource name="saleslog"/>
  </cacheSource>
  <cacheFields count="7">
    <cacheField name="Order ID" numFmtId="0">
      <sharedItems/>
    </cacheField>
    <cacheField name="Customer Name" numFmtId="0">
      <sharedItems/>
    </cacheField>
    <cacheField name="Product" numFmtId="0">
      <sharedItems/>
    </cacheField>
    <cacheField name="Category" numFmtId="0">
      <sharedItems count="4">
        <s v="Furniture"/>
        <s v="Stationery"/>
        <s v="Electronics"/>
        <s v="Lifestyle"/>
      </sharedItems>
    </cacheField>
    <cacheField name="Region" numFmtId="0">
      <sharedItems count="4">
        <s v="East"/>
        <s v="West"/>
        <s v="north"/>
        <s v="south"/>
      </sharedItems>
    </cacheField>
    <cacheField name="Sale Date" numFmtId="164">
      <sharedItems containsSemiMixedTypes="0" containsNonDate="0" containsDate="1" containsString="0" minDate="2024-01-08T00:00:00" maxDate="2024-07-23T00:00:00"/>
    </cacheField>
    <cacheField name="Amount" numFmtId="0">
      <sharedItems containsMixedTypes="1" containsNumber="1" minValue="374.61" maxValue="6871.82"/>
    </cacheField>
  </cacheFields>
  <extLst>
    <ext xmlns:x14="http://schemas.microsoft.com/office/spreadsheetml/2009/9/main" uri="{725AE2AE-9491-48be-B2B4-4EB974FC3084}">
      <x14:pivotCacheDefinition pivotCacheId="253142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S0001"/>
    <s v="Fatima Khan"/>
    <s v="Monitor Stand"/>
    <x v="0"/>
    <x v="0"/>
    <d v="2024-03-12T00:00:00"/>
    <s v="N/A"/>
  </r>
  <r>
    <s v="S0002"/>
    <s v="Carlos Garcia"/>
    <s v="Gel Pen Pack"/>
    <x v="1"/>
    <x v="1"/>
    <d v="2024-07-06T00:00:00"/>
    <n v="2531.59"/>
  </r>
  <r>
    <s v="S0003"/>
    <s v="Tom Smith"/>
    <s v="Monitor Stand"/>
    <x v="0"/>
    <x v="2"/>
    <d v="2024-01-18T00:00:00"/>
    <n v="827.63"/>
  </r>
  <r>
    <s v="S0004"/>
    <s v="Amit Sharma"/>
    <s v="Desk Lamp"/>
    <x v="0"/>
    <x v="3"/>
    <d v="2024-07-20T00:00:00"/>
    <n v="1089.57"/>
  </r>
  <r>
    <s v="S0005"/>
    <s v="Nadia Hussain"/>
    <s v="Gel Pen Pack"/>
    <x v="1"/>
    <x v="0"/>
    <d v="2024-05-27T00:00:00"/>
    <s v="N/A"/>
  </r>
  <r>
    <s v="S0006"/>
    <s v="Wei Chen"/>
    <s v="Notebook A5"/>
    <x v="1"/>
    <x v="0"/>
    <d v="2024-04-24T00:00:00"/>
    <n v="1066.6300000000001"/>
  </r>
  <r>
    <s v="S0007"/>
    <s v="Leena Rao"/>
    <s v="Mechanical Keyboard"/>
    <x v="2"/>
    <x v="1"/>
    <d v="2024-06-23T00:00:00"/>
    <n v="899"/>
  </r>
  <r>
    <s v="S0008"/>
    <s v="Leena Rao"/>
    <s v="Water Bottle"/>
    <x v="3"/>
    <x v="0"/>
    <d v="2024-02-19T00:00:00"/>
    <s v="N/A"/>
  </r>
  <r>
    <s v="S0009"/>
    <s v="Leena Rao"/>
    <s v="Office Chair"/>
    <x v="0"/>
    <x v="2"/>
    <d v="2024-02-14T00:00:00"/>
    <s v="N/A"/>
  </r>
  <r>
    <s v="S0010"/>
    <s v="Leena Rao"/>
    <s v="Mechanical Keyboard"/>
    <x v="2"/>
    <x v="1"/>
    <d v="2024-05-01T00:00:00"/>
    <n v="2577.6799999999998"/>
  </r>
  <r>
    <s v="S0011"/>
    <s v="Amit Sharma"/>
    <s v="Notebook A5"/>
    <x v="1"/>
    <x v="1"/>
    <d v="2024-04-16T00:00:00"/>
    <n v="2432.1799999999998"/>
  </r>
  <r>
    <s v="S0012"/>
    <s v="Nadia Hussain"/>
    <s v="Office Chair"/>
    <x v="0"/>
    <x v="0"/>
    <d v="2024-06-26T00:00:00"/>
    <n v="6871.82"/>
  </r>
  <r>
    <s v="S0013"/>
    <s v="Carlos Garcia"/>
    <s v="Wireless Mouse"/>
    <x v="2"/>
    <x v="0"/>
    <d v="2024-06-01T00:00:00"/>
    <n v="6745.23"/>
  </r>
  <r>
    <s v="S0014"/>
    <s v="Sara Ali"/>
    <s v="USB-C Hub"/>
    <x v="2"/>
    <x v="3"/>
    <d v="2024-07-09T00:00:00"/>
    <n v="5547.71"/>
  </r>
  <r>
    <s v="S0015"/>
    <s v="Ben Cole"/>
    <s v="Mechanical Keyboard"/>
    <x v="2"/>
    <x v="1"/>
    <d v="2024-03-10T00:00:00"/>
    <n v="501.83"/>
  </r>
  <r>
    <s v="S0016"/>
    <s v="Sara Ali"/>
    <s v="Gel Pen Pack"/>
    <x v="1"/>
    <x v="3"/>
    <d v="2024-06-23T00:00:00"/>
    <n v="6461.24"/>
  </r>
  <r>
    <s v="S0017"/>
    <s v="Carlos Garcia"/>
    <s v="USB-C Hub"/>
    <x v="2"/>
    <x v="2"/>
    <d v="2024-06-23T00:00:00"/>
    <n v="2977.07"/>
  </r>
  <r>
    <s v="S0018"/>
    <s v="John Doe"/>
    <s v="Monitor Stand"/>
    <x v="0"/>
    <x v="1"/>
    <d v="2024-04-21T00:00:00"/>
    <n v="4721.5200000000004"/>
  </r>
  <r>
    <s v="S0019"/>
    <s v="Sara Ali"/>
    <s v="Gel Pen Pack"/>
    <x v="1"/>
    <x v="2"/>
    <d v="2024-03-22T00:00:00"/>
    <n v="2151.0100000000002"/>
  </r>
  <r>
    <s v="S0020"/>
    <s v="Tom Smith"/>
    <s v="Office Chair"/>
    <x v="0"/>
    <x v="1"/>
    <d v="2024-06-25T00:00:00"/>
    <n v="1653.17"/>
  </r>
  <r>
    <s v="S0021"/>
    <s v="Carlos Garcia"/>
    <s v="Notebook A5"/>
    <x v="1"/>
    <x v="3"/>
    <d v="2024-01-28T00:00:00"/>
    <n v="5765.28"/>
  </r>
  <r>
    <s v="S0022"/>
    <s v="Leena Rao"/>
    <s v="Desk Lamp"/>
    <x v="0"/>
    <x v="0"/>
    <d v="2024-01-11T00:00:00"/>
    <n v="514.25"/>
  </r>
  <r>
    <s v="S0023"/>
    <s v="Sara Ali"/>
    <s v="Mechanical Keyboard"/>
    <x v="2"/>
    <x v="1"/>
    <d v="2024-07-06T00:00:00"/>
    <n v="4935.21"/>
  </r>
  <r>
    <s v="S0024"/>
    <s v="Amit Sharma"/>
    <s v="Notebook A5"/>
    <x v="1"/>
    <x v="3"/>
    <d v="2024-07-22T00:00:00"/>
    <n v="3090.99"/>
  </r>
  <r>
    <s v="S0025"/>
    <s v="Nadia Hussain"/>
    <s v="Water Bottle"/>
    <x v="3"/>
    <x v="1"/>
    <d v="2024-02-05T00:00:00"/>
    <n v="3303.94"/>
  </r>
  <r>
    <s v="S0026"/>
    <s v="Ben Cole"/>
    <s v="Office Chair"/>
    <x v="0"/>
    <x v="0"/>
    <d v="2024-05-24T00:00:00"/>
    <n v="3232.21"/>
  </r>
  <r>
    <s v="S0027"/>
    <s v="Carlos Garcia"/>
    <s v="Backpack"/>
    <x v="3"/>
    <x v="1"/>
    <d v="2024-06-16T00:00:00"/>
    <n v="2085.7199999999998"/>
  </r>
  <r>
    <s v="S0028"/>
    <s v="Carlos Garcia"/>
    <s v="Water Bottle"/>
    <x v="3"/>
    <x v="1"/>
    <d v="2024-01-24T00:00:00"/>
    <n v="5052.1099999999997"/>
  </r>
  <r>
    <s v="S0029"/>
    <s v="Nadia Hussain"/>
    <s v="Office Chair"/>
    <x v="0"/>
    <x v="3"/>
    <d v="2024-02-09T00:00:00"/>
    <n v="1225.6500000000001"/>
  </r>
  <r>
    <s v="S0030"/>
    <s v="Fatima Khan"/>
    <s v="Notebook A5"/>
    <x v="1"/>
    <x v="0"/>
    <d v="2024-04-18T00:00:00"/>
    <n v="2449.9899999999998"/>
  </r>
  <r>
    <s v="S0031"/>
    <s v="Sara Ali"/>
    <s v="Wireless Mouse"/>
    <x v="2"/>
    <x v="0"/>
    <d v="2024-07-20T00:00:00"/>
    <n v="4171.74"/>
  </r>
  <r>
    <s v="S0032"/>
    <s v="Amit Sharma"/>
    <s v="Backpack"/>
    <x v="3"/>
    <x v="3"/>
    <d v="2024-03-21T00:00:00"/>
    <n v="5323.63"/>
  </r>
  <r>
    <s v="S0033"/>
    <s v="Tom Smith"/>
    <s v="Water Bottle"/>
    <x v="3"/>
    <x v="1"/>
    <d v="2024-03-14T00:00:00"/>
    <s v="N/A"/>
  </r>
  <r>
    <s v="S0034"/>
    <s v="Sara Ali"/>
    <s v="Monitor Stand"/>
    <x v="0"/>
    <x v="0"/>
    <d v="2024-05-03T00:00:00"/>
    <n v="6452.88"/>
  </r>
  <r>
    <s v="S0035"/>
    <s v="Ben Cole"/>
    <s v="Mechanical Keyboard"/>
    <x v="2"/>
    <x v="2"/>
    <d v="2024-01-26T00:00:00"/>
    <n v="4570.7"/>
  </r>
  <r>
    <s v="S0036"/>
    <s v="Amit Sharma"/>
    <s v="Water Bottle"/>
    <x v="3"/>
    <x v="2"/>
    <d v="2024-04-11T00:00:00"/>
    <n v="2426"/>
  </r>
  <r>
    <s v="S0037"/>
    <s v="Carlos Garcia"/>
    <s v="Office Chair"/>
    <x v="0"/>
    <x v="0"/>
    <d v="2024-03-09T00:00:00"/>
    <n v="5877.39"/>
  </r>
  <r>
    <s v="S0038"/>
    <s v="Leena Rao"/>
    <s v="Mechanical Keyboard"/>
    <x v="2"/>
    <x v="3"/>
    <d v="2024-07-22T00:00:00"/>
    <s v="N/A"/>
  </r>
  <r>
    <s v="S0039"/>
    <s v="Leena Rao"/>
    <s v="Wireless Mouse"/>
    <x v="2"/>
    <x v="2"/>
    <d v="2024-06-12T00:00:00"/>
    <n v="1236.2"/>
  </r>
  <r>
    <s v="S0040"/>
    <s v="Leena Rao"/>
    <s v="USB-C Hub"/>
    <x v="2"/>
    <x v="1"/>
    <d v="2024-07-02T00:00:00"/>
    <n v="1942.46"/>
  </r>
  <r>
    <s v="S0041"/>
    <s v="Carlos Garcia"/>
    <s v="Wireless Mouse"/>
    <x v="2"/>
    <x v="3"/>
    <d v="2024-06-01T00:00:00"/>
    <n v="374.61"/>
  </r>
  <r>
    <s v="S0042"/>
    <s v="Leena Rao"/>
    <s v="Backpack"/>
    <x v="3"/>
    <x v="3"/>
    <d v="2024-06-04T00:00:00"/>
    <n v="4896.18"/>
  </r>
  <r>
    <s v="S0043"/>
    <s v="Carlos Garcia"/>
    <s v="USB-C Hub"/>
    <x v="2"/>
    <x v="3"/>
    <d v="2024-05-28T00:00:00"/>
    <n v="5521.92"/>
  </r>
  <r>
    <s v="S0044"/>
    <s v="Fatima Khan"/>
    <s v="Backpack"/>
    <x v="3"/>
    <x v="3"/>
    <d v="2024-01-08T00:00:00"/>
    <n v="5977.11"/>
  </r>
  <r>
    <s v="S0045"/>
    <s v="Wei Chen"/>
    <s v="Mechanical Keyboard"/>
    <x v="2"/>
    <x v="1"/>
    <d v="2024-07-04T00:00:00"/>
    <n v="1240.3399999999999"/>
  </r>
  <r>
    <s v="S0046"/>
    <s v="Nadia Hussain"/>
    <s v="Monitor Stand"/>
    <x v="0"/>
    <x v="1"/>
    <d v="2024-05-03T00:00:00"/>
    <n v="3161.91"/>
  </r>
  <r>
    <s v="S0047"/>
    <s v="Leena Rao"/>
    <s v="Office Chair"/>
    <x v="0"/>
    <x v="3"/>
    <d v="2024-03-16T00:00:00"/>
    <n v="6195.09"/>
  </r>
  <r>
    <s v="S0048"/>
    <s v="Wei Chen"/>
    <s v="Backpack"/>
    <x v="3"/>
    <x v="2"/>
    <d v="2024-05-10T00:00:00"/>
    <n v="5986.48"/>
  </r>
  <r>
    <s v="S0049"/>
    <s v="Carlos Garcia"/>
    <s v="Gel Pen Pack"/>
    <x v="1"/>
    <x v="3"/>
    <d v="2024-03-16T00:00:00"/>
    <n v="6186.18"/>
  </r>
  <r>
    <s v="S0050"/>
    <s v="Amit Sharma"/>
    <s v="Monitor Stand"/>
    <x v="0"/>
    <x v="1"/>
    <d v="2024-01-26T00:00:00"/>
    <n v="1841.2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132862-1D31-4759-94E4-455CCD89D08D}"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F9" firstHeaderRow="1" firstDataRow="2" firstDataCol="1"/>
  <pivotFields count="7">
    <pivotField showAll="0"/>
    <pivotField showAll="0"/>
    <pivotField showAll="0"/>
    <pivotField axis="axisRow" showAll="0">
      <items count="5">
        <item x="2"/>
        <item x="0"/>
        <item x="3"/>
        <item x="1"/>
        <item t="default"/>
      </items>
    </pivotField>
    <pivotField axis="axisCol" showAll="0">
      <items count="5">
        <item x="0"/>
        <item x="2"/>
        <item x="3"/>
        <item x="1"/>
        <item t="default"/>
      </items>
    </pivotField>
    <pivotField numFmtId="164" showAll="0"/>
    <pivotField dataField="1" showAll="0"/>
  </pivotFields>
  <rowFields count="1">
    <field x="3"/>
  </rowFields>
  <rowItems count="5">
    <i>
      <x/>
    </i>
    <i>
      <x v="1"/>
    </i>
    <i>
      <x v="2"/>
    </i>
    <i>
      <x v="3"/>
    </i>
    <i t="grand">
      <x/>
    </i>
  </rowItems>
  <colFields count="1">
    <field x="4"/>
  </colFields>
  <colItems count="5">
    <i>
      <x/>
    </i>
    <i>
      <x v="1"/>
    </i>
    <i>
      <x v="2"/>
    </i>
    <i>
      <x v="3"/>
    </i>
    <i t="grand">
      <x/>
    </i>
  </colItems>
  <dataFields count="1">
    <dataField name="Count of Amount" fld="6" subtotal="count" baseField="0" baseItem="0"/>
  </dataFields>
  <chartFormats count="4">
    <chartFormat chart="0" format="0" series="1">
      <pivotArea type="data" outline="0" fieldPosition="0">
        <references count="2">
          <reference field="4294967294" count="1" selected="0">
            <x v="0"/>
          </reference>
          <reference field="4" count="1" selected="0">
            <x v="1"/>
          </reference>
        </references>
      </pivotArea>
    </chartFormat>
    <chartFormat chart="0" format="1" series="1">
      <pivotArea type="data" outline="0" fieldPosition="0">
        <references count="2">
          <reference field="4294967294" count="1" selected="0">
            <x v="0"/>
          </reference>
          <reference field="4" count="1" selected="0">
            <x v="0"/>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AD6AA5C-73BF-4CBA-9BDE-2D19DEE24056}" sourceName="Category">
  <pivotTables>
    <pivotTable tabId="6" name="PivotTable1"/>
  </pivotTables>
  <data>
    <tabular pivotCacheId="25314260">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3F650D1-C911-44D8-8131-83FA370BBE27}" sourceName="Region">
  <pivotTables>
    <pivotTable tabId="6" name="PivotTable1"/>
  </pivotTables>
  <data>
    <tabular pivotCacheId="25314260">
      <items count="4">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4A23CBD-338E-4E73-881A-2252C9462E25}" cache="Slicer_Category" caption="Category" rowHeight="234950"/>
  <slicer name="Region" xr10:uid="{0DBC4428-048D-412B-B33B-8F9C0000A2DF}"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A6AEA0D-1331-44AB-B02A-5463D022DB8F}" name="saleslog" displayName="saleslog" ref="A4:G54" totalsRowShown="0" headerRowDxfId="2" dataDxfId="3" headerRowBorderDxfId="12" tableBorderDxfId="13" totalsRowBorderDxfId="11">
  <autoFilter ref="A4:G54" xr:uid="{AA6AEA0D-1331-44AB-B02A-5463D022DB8F}"/>
  <tableColumns count="7">
    <tableColumn id="1" xr3:uid="{B55FD00C-2379-4D47-B27E-67231D89921D}" name="Order ID" dataDxfId="10"/>
    <tableColumn id="2" xr3:uid="{53CE9F04-99BF-48E2-8725-709A99877243}" name="Customer Name" dataDxfId="9"/>
    <tableColumn id="3" xr3:uid="{FDC25122-F15B-4942-9F36-623BD05AE4B1}" name="Product" dataDxfId="8"/>
    <tableColumn id="4" xr3:uid="{E403792D-9E88-469C-9031-83C9A4FDEC5C}" name="Category" dataDxfId="7"/>
    <tableColumn id="5" xr3:uid="{B3258968-62FF-40C1-9AB1-0C960121A5E2}" name="Region" dataDxfId="6"/>
    <tableColumn id="6" xr3:uid="{547C5FCA-6124-4AD8-A256-36814FE6F6B1}" name="Sale Date" dataDxfId="5"/>
    <tableColumn id="7" xr3:uid="{3FD42145-66E9-44D0-B008-D355A48F09F8}" name="Amount" dataDxfId="4"/>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22"/>
  <sheetViews>
    <sheetView workbookViewId="0">
      <selection activeCell="B10" sqref="B10"/>
    </sheetView>
  </sheetViews>
  <sheetFormatPr defaultRowHeight="14.4" x14ac:dyDescent="0.3"/>
  <cols>
    <col min="1" max="1" width="3" customWidth="1"/>
    <col min="2" max="2" width="100" customWidth="1"/>
  </cols>
  <sheetData>
    <row r="2" spans="2:2" ht="17.399999999999999" x14ac:dyDescent="0.3">
      <c r="B2" s="1" t="s">
        <v>0</v>
      </c>
    </row>
    <row r="4" spans="2:2" x14ac:dyDescent="0.3">
      <c r="B4" s="2" t="s">
        <v>1</v>
      </c>
    </row>
    <row r="6" spans="2:2" x14ac:dyDescent="0.3">
      <c r="B6" s="3" t="s">
        <v>2</v>
      </c>
    </row>
    <row r="7" spans="2:2" x14ac:dyDescent="0.3">
      <c r="B7" s="3" t="s">
        <v>3</v>
      </c>
    </row>
    <row r="8" spans="2:2" x14ac:dyDescent="0.3">
      <c r="B8" s="3" t="s">
        <v>4</v>
      </c>
    </row>
    <row r="9" spans="2:2" x14ac:dyDescent="0.3">
      <c r="B9" s="3"/>
    </row>
    <row r="10" spans="2:2" x14ac:dyDescent="0.3">
      <c r="B10" s="3" t="s">
        <v>5</v>
      </c>
    </row>
    <row r="11" spans="2:2" x14ac:dyDescent="0.3">
      <c r="B11" s="3" t="s">
        <v>6</v>
      </c>
    </row>
    <row r="12" spans="2:2" x14ac:dyDescent="0.3">
      <c r="B12" s="3" t="s">
        <v>7</v>
      </c>
    </row>
    <row r="13" spans="2:2" x14ac:dyDescent="0.3">
      <c r="B13" s="3" t="s">
        <v>8</v>
      </c>
    </row>
    <row r="14" spans="2:2" x14ac:dyDescent="0.3">
      <c r="B14" s="3" t="s">
        <v>9</v>
      </c>
    </row>
    <row r="15" spans="2:2" x14ac:dyDescent="0.3">
      <c r="B15" s="3" t="s">
        <v>10</v>
      </c>
    </row>
    <row r="16" spans="2:2" x14ac:dyDescent="0.3">
      <c r="B16" s="3" t="s">
        <v>11</v>
      </c>
    </row>
    <row r="17" spans="2:2" x14ac:dyDescent="0.3">
      <c r="B17" s="3" t="s">
        <v>12</v>
      </c>
    </row>
    <row r="18" spans="2:2" x14ac:dyDescent="0.3">
      <c r="B18" s="3" t="s">
        <v>13</v>
      </c>
    </row>
    <row r="19" spans="2:2" x14ac:dyDescent="0.3">
      <c r="B19" s="3"/>
    </row>
    <row r="20" spans="2:2" x14ac:dyDescent="0.3">
      <c r="B20" s="3" t="s">
        <v>14</v>
      </c>
    </row>
    <row r="21" spans="2:2" x14ac:dyDescent="0.3">
      <c r="B21" s="3" t="s">
        <v>15</v>
      </c>
    </row>
    <row r="22" spans="2:2" x14ac:dyDescent="0.3">
      <c r="B22" s="3" t="s">
        <v>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9"/>
  <sheetViews>
    <sheetView topLeftCell="P1" zoomScale="75" zoomScaleNormal="75" workbookViewId="0">
      <pane ySplit="3" topLeftCell="A6" activePane="bottomLeft" state="frozen"/>
      <selection pane="bottomLeft" activeCell="O4" sqref="O4"/>
    </sheetView>
  </sheetViews>
  <sheetFormatPr defaultRowHeight="14.4" x14ac:dyDescent="0.3"/>
  <cols>
    <col min="1" max="1" width="9" customWidth="1"/>
    <col min="2" max="2" width="16" customWidth="1"/>
    <col min="3" max="3" width="12" customWidth="1"/>
    <col min="4" max="4" width="9" customWidth="1"/>
    <col min="5" max="7" width="11" customWidth="1"/>
    <col min="8" max="8" width="26" customWidth="1"/>
    <col min="9" max="9" width="17.33203125" bestFit="1" customWidth="1"/>
    <col min="11" max="11" width="17.109375" bestFit="1" customWidth="1"/>
    <col min="12" max="12" width="11.109375" bestFit="1" customWidth="1"/>
    <col min="13" max="13" width="17.88671875" bestFit="1" customWidth="1"/>
    <col min="14" max="14" width="16.88671875" bestFit="1" customWidth="1"/>
    <col min="15" max="15" width="18.6640625" bestFit="1" customWidth="1"/>
    <col min="16" max="16" width="26.6640625" bestFit="1" customWidth="1"/>
    <col min="17" max="17" width="24.109375" bestFit="1" customWidth="1"/>
    <col min="20" max="20" width="70" customWidth="1"/>
  </cols>
  <sheetData>
    <row r="1" spans="1:20" ht="17.399999999999999" x14ac:dyDescent="0.3">
      <c r="A1" s="1" t="s">
        <v>17</v>
      </c>
    </row>
    <row r="3" spans="1:20" x14ac:dyDescent="0.3">
      <c r="A3" s="4" t="s">
        <v>18</v>
      </c>
      <c r="B3" s="4" t="s">
        <v>19</v>
      </c>
      <c r="C3" s="4" t="s">
        <v>20</v>
      </c>
      <c r="D3" s="4" t="s">
        <v>21</v>
      </c>
      <c r="E3" s="4" t="s">
        <v>22</v>
      </c>
      <c r="F3" s="4" t="s">
        <v>23</v>
      </c>
      <c r="G3" s="4" t="s">
        <v>24</v>
      </c>
      <c r="H3" s="4" t="s">
        <v>25</v>
      </c>
      <c r="I3" s="4" t="s">
        <v>26</v>
      </c>
      <c r="K3" s="4" t="s">
        <v>27</v>
      </c>
      <c r="L3" s="4" t="s">
        <v>28</v>
      </c>
      <c r="M3" s="4" t="s">
        <v>29</v>
      </c>
      <c r="N3" s="4" t="s">
        <v>30</v>
      </c>
      <c r="O3" s="4" t="s">
        <v>331</v>
      </c>
      <c r="P3" s="4" t="s">
        <v>31</v>
      </c>
      <c r="Q3" s="4" t="s">
        <v>32</v>
      </c>
      <c r="R3" s="13" t="s">
        <v>332</v>
      </c>
      <c r="T3" s="2" t="s">
        <v>33</v>
      </c>
    </row>
    <row r="4" spans="1:20" ht="26.4" x14ac:dyDescent="0.3">
      <c r="A4" s="5" t="s">
        <v>34</v>
      </c>
      <c r="B4" s="5" t="s">
        <v>35</v>
      </c>
      <c r="C4" s="5" t="s">
        <v>36</v>
      </c>
      <c r="D4" s="5" t="s">
        <v>37</v>
      </c>
      <c r="E4" s="5">
        <v>49256</v>
      </c>
      <c r="F4" s="5">
        <v>38289</v>
      </c>
      <c r="G4" s="5">
        <v>33434</v>
      </c>
      <c r="H4" s="5" t="s">
        <v>38</v>
      </c>
      <c r="I4" s="5" t="s">
        <v>39</v>
      </c>
      <c r="K4" s="6">
        <f>SUM(E4:G4)</f>
        <v>120979</v>
      </c>
      <c r="L4" s="10">
        <f>AVERAGE(E4:G4)</f>
        <v>40326.333333333336</v>
      </c>
      <c r="M4" s="12">
        <f>K4/$K$29</f>
        <v>4.403122319225003E-2</v>
      </c>
      <c r="N4" s="6" t="str">
        <f>IF(K4&gt;150000,"yes","no")</f>
        <v>no</v>
      </c>
      <c r="O4" s="6" t="str">
        <f>IF(AND(K4&gt;15000,OR(D4="south",D4="north")),"yes","no")</f>
        <v>yes</v>
      </c>
      <c r="P4" s="6" t="str">
        <f>LEFT(I4,2)</f>
        <v>SR</v>
      </c>
      <c r="Q4" s="6" t="str">
        <f>RIGHT(I4,4)</f>
        <v>2023</v>
      </c>
      <c r="R4">
        <f>LEN(B4)</f>
        <v>12</v>
      </c>
      <c r="T4" s="7" t="s">
        <v>40</v>
      </c>
    </row>
    <row r="5" spans="1:20" ht="39.6" x14ac:dyDescent="0.3">
      <c r="A5" s="5" t="s">
        <v>41</v>
      </c>
      <c r="B5" s="5" t="s">
        <v>42</v>
      </c>
      <c r="C5" s="5" t="s">
        <v>43</v>
      </c>
      <c r="D5" s="5" t="s">
        <v>44</v>
      </c>
      <c r="E5" s="5">
        <v>23905</v>
      </c>
      <c r="F5" s="5">
        <v>32280</v>
      </c>
      <c r="G5" s="5">
        <v>48657</v>
      </c>
      <c r="H5" s="5" t="s">
        <v>45</v>
      </c>
      <c r="I5" s="5" t="s">
        <v>46</v>
      </c>
      <c r="K5" s="6">
        <f t="shared" ref="K5:K23" si="0">SUM(E5:G5)</f>
        <v>104842</v>
      </c>
      <c r="L5" s="10">
        <f t="shared" ref="L5:L23" si="1">AVERAGE(E5:G5)</f>
        <v>34947.333333333336</v>
      </c>
      <c r="M5" s="12">
        <f t="shared" ref="M5:M23" si="2">K5/$K$29</f>
        <v>3.8158039840979659E-2</v>
      </c>
      <c r="N5" s="6" t="str">
        <f t="shared" ref="N5:N23" si="3">IF(K5&gt;150000,"yes","no")</f>
        <v>no</v>
      </c>
      <c r="O5" s="6" t="str">
        <f t="shared" ref="O5:O23" si="4">IF(AND(K5&gt;15000,OR(D5="south",D5="north")),"yes","no")</f>
        <v>yes</v>
      </c>
      <c r="P5" s="6" t="str">
        <f t="shared" ref="P5:P23" si="5">LEFT(I5,2)</f>
        <v>NR</v>
      </c>
      <c r="Q5" s="6" t="str">
        <f t="shared" ref="Q5:Q23" si="6">RIGHT(I5,4)</f>
        <v>2020</v>
      </c>
      <c r="R5">
        <f t="shared" ref="R5:R23" si="7">LEN(B5)</f>
        <v>12</v>
      </c>
      <c r="T5" s="7" t="s">
        <v>47</v>
      </c>
    </row>
    <row r="6" spans="1:20" ht="26.4" x14ac:dyDescent="0.3">
      <c r="A6" s="5" t="s">
        <v>48</v>
      </c>
      <c r="B6" s="5" t="s">
        <v>49</v>
      </c>
      <c r="C6" s="5" t="s">
        <v>50</v>
      </c>
      <c r="D6" s="5" t="s">
        <v>37</v>
      </c>
      <c r="E6" s="5">
        <v>74987</v>
      </c>
      <c r="F6" s="5">
        <v>48893</v>
      </c>
      <c r="G6" s="5">
        <v>78878</v>
      </c>
      <c r="H6" s="5" t="s">
        <v>51</v>
      </c>
      <c r="I6" s="5" t="s">
        <v>52</v>
      </c>
      <c r="K6" s="6">
        <f t="shared" si="0"/>
        <v>202758</v>
      </c>
      <c r="L6" s="10">
        <f t="shared" si="1"/>
        <v>67586</v>
      </c>
      <c r="M6" s="12">
        <f t="shared" si="2"/>
        <v>7.3795309533177103E-2</v>
      </c>
      <c r="N6" s="6" t="str">
        <f t="shared" si="3"/>
        <v>yes</v>
      </c>
      <c r="O6" s="6" t="str">
        <f t="shared" si="4"/>
        <v>yes</v>
      </c>
      <c r="P6" s="6" t="str">
        <f t="shared" si="5"/>
        <v>SR</v>
      </c>
      <c r="Q6" s="6" t="str">
        <f t="shared" si="6"/>
        <v>2023</v>
      </c>
      <c r="R6">
        <f t="shared" si="7"/>
        <v>13</v>
      </c>
      <c r="T6" s="7" t="s">
        <v>53</v>
      </c>
    </row>
    <row r="7" spans="1:20" x14ac:dyDescent="0.3">
      <c r="A7" s="5" t="s">
        <v>54</v>
      </c>
      <c r="B7" s="5" t="s">
        <v>55</v>
      </c>
      <c r="C7" s="5" t="s">
        <v>56</v>
      </c>
      <c r="D7" s="5" t="s">
        <v>57</v>
      </c>
      <c r="E7" s="5">
        <v>64597</v>
      </c>
      <c r="F7" s="5">
        <v>56421</v>
      </c>
      <c r="G7" s="5">
        <v>40379</v>
      </c>
      <c r="H7" s="5" t="s">
        <v>58</v>
      </c>
      <c r="I7" s="5" t="s">
        <v>59</v>
      </c>
      <c r="K7" s="6">
        <f t="shared" si="0"/>
        <v>161397</v>
      </c>
      <c r="L7" s="10">
        <f t="shared" si="1"/>
        <v>53799</v>
      </c>
      <c r="M7" s="12">
        <f t="shared" si="2"/>
        <v>5.8741660367167679E-2</v>
      </c>
      <c r="N7" s="6" t="str">
        <f t="shared" si="3"/>
        <v>yes</v>
      </c>
      <c r="O7" s="6" t="str">
        <f t="shared" si="4"/>
        <v>no</v>
      </c>
      <c r="P7" s="6" t="str">
        <f t="shared" si="5"/>
        <v>WR</v>
      </c>
      <c r="Q7" s="6" t="str">
        <f t="shared" si="6"/>
        <v>2020</v>
      </c>
      <c r="R7">
        <f t="shared" si="7"/>
        <v>13</v>
      </c>
      <c r="T7" s="7" t="s">
        <v>60</v>
      </c>
    </row>
    <row r="8" spans="1:20" ht="26.4" x14ac:dyDescent="0.3">
      <c r="A8" s="5" t="s">
        <v>61</v>
      </c>
      <c r="B8" s="5" t="s">
        <v>62</v>
      </c>
      <c r="C8" s="5" t="s">
        <v>50</v>
      </c>
      <c r="D8" s="5" t="s">
        <v>57</v>
      </c>
      <c r="E8" s="5">
        <v>32676</v>
      </c>
      <c r="F8" s="5">
        <v>67052</v>
      </c>
      <c r="G8" s="5">
        <v>65082</v>
      </c>
      <c r="H8" s="5" t="s">
        <v>63</v>
      </c>
      <c r="I8" s="5" t="s">
        <v>64</v>
      </c>
      <c r="K8" s="6">
        <f t="shared" si="0"/>
        <v>164810</v>
      </c>
      <c r="L8" s="10">
        <f t="shared" si="1"/>
        <v>54936.666666666664</v>
      </c>
      <c r="M8" s="12">
        <f t="shared" si="2"/>
        <v>5.9983847562921896E-2</v>
      </c>
      <c r="N8" s="6" t="str">
        <f t="shared" si="3"/>
        <v>yes</v>
      </c>
      <c r="O8" s="6" t="str">
        <f t="shared" si="4"/>
        <v>no</v>
      </c>
      <c r="P8" s="6" t="str">
        <f t="shared" si="5"/>
        <v>WR</v>
      </c>
      <c r="Q8" s="6" t="str">
        <f t="shared" si="6"/>
        <v>2023</v>
      </c>
      <c r="R8">
        <f t="shared" si="7"/>
        <v>11</v>
      </c>
      <c r="T8" s="7" t="s">
        <v>65</v>
      </c>
    </row>
    <row r="9" spans="1:20" ht="52.8" x14ac:dyDescent="0.3">
      <c r="A9" s="5" t="s">
        <v>66</v>
      </c>
      <c r="B9" s="5" t="s">
        <v>55</v>
      </c>
      <c r="C9" s="5" t="s">
        <v>43</v>
      </c>
      <c r="D9" s="5" t="s">
        <v>44</v>
      </c>
      <c r="E9" s="5">
        <v>69615</v>
      </c>
      <c r="F9" s="5">
        <v>30328</v>
      </c>
      <c r="G9" s="5">
        <v>58427</v>
      </c>
      <c r="H9" s="5" t="s">
        <v>58</v>
      </c>
      <c r="I9" s="5" t="s">
        <v>67</v>
      </c>
      <c r="K9" s="6">
        <f t="shared" si="0"/>
        <v>158370</v>
      </c>
      <c r="L9" s="10">
        <f t="shared" si="1"/>
        <v>52790</v>
      </c>
      <c r="M9" s="12">
        <f t="shared" si="2"/>
        <v>5.7639960794490262E-2</v>
      </c>
      <c r="N9" s="6" t="str">
        <f t="shared" si="3"/>
        <v>yes</v>
      </c>
      <c r="O9" s="6" t="str">
        <f t="shared" si="4"/>
        <v>yes</v>
      </c>
      <c r="P9" s="6" t="str">
        <f t="shared" si="5"/>
        <v>NR</v>
      </c>
      <c r="Q9" s="6" t="str">
        <f t="shared" si="6"/>
        <v>2023</v>
      </c>
      <c r="R9">
        <f t="shared" si="7"/>
        <v>13</v>
      </c>
      <c r="T9" s="7" t="s">
        <v>68</v>
      </c>
    </row>
    <row r="10" spans="1:20" ht="39.6" x14ac:dyDescent="0.3">
      <c r="A10" s="5" t="s">
        <v>69</v>
      </c>
      <c r="B10" s="5" t="s">
        <v>70</v>
      </c>
      <c r="C10" s="5" t="s">
        <v>56</v>
      </c>
      <c r="D10" s="5" t="s">
        <v>44</v>
      </c>
      <c r="E10" s="5">
        <v>26006</v>
      </c>
      <c r="F10" s="5">
        <v>49871</v>
      </c>
      <c r="G10" s="5">
        <v>57930</v>
      </c>
      <c r="H10" s="5" t="s">
        <v>71</v>
      </c>
      <c r="I10" s="5" t="s">
        <v>72</v>
      </c>
      <c r="K10" s="6">
        <f t="shared" si="0"/>
        <v>133807</v>
      </c>
      <c r="L10" s="10">
        <f t="shared" si="1"/>
        <v>44602.333333333336</v>
      </c>
      <c r="M10" s="12">
        <f t="shared" si="2"/>
        <v>4.8700070935330929E-2</v>
      </c>
      <c r="N10" s="6" t="str">
        <f t="shared" si="3"/>
        <v>no</v>
      </c>
      <c r="O10" s="6" t="str">
        <f t="shared" si="4"/>
        <v>yes</v>
      </c>
      <c r="P10" s="6" t="str">
        <f t="shared" si="5"/>
        <v>NR</v>
      </c>
      <c r="Q10" s="6" t="str">
        <f t="shared" si="6"/>
        <v>2019</v>
      </c>
      <c r="R10">
        <f t="shared" si="7"/>
        <v>12</v>
      </c>
      <c r="T10" s="7" t="s">
        <v>73</v>
      </c>
    </row>
    <row r="11" spans="1:20" ht="52.8" x14ac:dyDescent="0.3">
      <c r="A11" s="5" t="s">
        <v>74</v>
      </c>
      <c r="B11" s="5" t="s">
        <v>75</v>
      </c>
      <c r="C11" s="5" t="s">
        <v>43</v>
      </c>
      <c r="D11" s="5" t="s">
        <v>76</v>
      </c>
      <c r="E11" s="5">
        <v>79429</v>
      </c>
      <c r="F11" s="5">
        <v>67819</v>
      </c>
      <c r="G11" s="5">
        <v>41319</v>
      </c>
      <c r="H11" s="5" t="s">
        <v>77</v>
      </c>
      <c r="I11" s="5" t="s">
        <v>78</v>
      </c>
      <c r="K11" s="6">
        <f t="shared" si="0"/>
        <v>188567</v>
      </c>
      <c r="L11" s="10">
        <f t="shared" si="1"/>
        <v>62855.666666666664</v>
      </c>
      <c r="M11" s="12">
        <f t="shared" si="2"/>
        <v>6.8630387618454539E-2</v>
      </c>
      <c r="N11" s="6" t="str">
        <f t="shared" si="3"/>
        <v>yes</v>
      </c>
      <c r="O11" s="6" t="str">
        <f t="shared" si="4"/>
        <v>no</v>
      </c>
      <c r="P11" s="6" t="str">
        <f t="shared" si="5"/>
        <v>ER</v>
      </c>
      <c r="Q11" s="6" t="str">
        <f t="shared" si="6"/>
        <v>2021</v>
      </c>
      <c r="R11">
        <f t="shared" si="7"/>
        <v>10</v>
      </c>
      <c r="T11" s="7" t="s">
        <v>79</v>
      </c>
    </row>
    <row r="12" spans="1:20" ht="26.4" x14ac:dyDescent="0.3">
      <c r="A12" s="5" t="s">
        <v>80</v>
      </c>
      <c r="B12" s="5" t="s">
        <v>81</v>
      </c>
      <c r="C12" s="5" t="s">
        <v>36</v>
      </c>
      <c r="D12" s="5" t="s">
        <v>44</v>
      </c>
      <c r="E12" s="5">
        <v>42431</v>
      </c>
      <c r="F12" s="5">
        <v>52087</v>
      </c>
      <c r="G12" s="5">
        <v>41417</v>
      </c>
      <c r="H12" s="5" t="s">
        <v>82</v>
      </c>
      <c r="I12" s="5" t="s">
        <v>83</v>
      </c>
      <c r="K12" s="6">
        <f t="shared" si="0"/>
        <v>135935</v>
      </c>
      <c r="L12" s="10">
        <f t="shared" si="1"/>
        <v>45311.666666666664</v>
      </c>
      <c r="M12" s="12">
        <f t="shared" si="2"/>
        <v>4.9474572650117031E-2</v>
      </c>
      <c r="N12" s="6" t="str">
        <f t="shared" si="3"/>
        <v>no</v>
      </c>
      <c r="O12" s="6" t="str">
        <f t="shared" si="4"/>
        <v>yes</v>
      </c>
      <c r="P12" s="6" t="str">
        <f t="shared" si="5"/>
        <v>NR</v>
      </c>
      <c r="Q12" s="6" t="str">
        <f t="shared" si="6"/>
        <v>2022</v>
      </c>
      <c r="R12">
        <f t="shared" si="7"/>
        <v>10</v>
      </c>
      <c r="T12" s="7" t="s">
        <v>84</v>
      </c>
    </row>
    <row r="13" spans="1:20" x14ac:dyDescent="0.3">
      <c r="A13" s="5" t="s">
        <v>85</v>
      </c>
      <c r="B13" s="5" t="s">
        <v>86</v>
      </c>
      <c r="C13" s="5" t="s">
        <v>56</v>
      </c>
      <c r="D13" s="5" t="s">
        <v>76</v>
      </c>
      <c r="E13" s="5">
        <v>27331</v>
      </c>
      <c r="F13" s="5">
        <v>50021</v>
      </c>
      <c r="G13" s="5">
        <v>24207</v>
      </c>
      <c r="H13" s="5" t="s">
        <v>87</v>
      </c>
      <c r="I13" s="5" t="s">
        <v>88</v>
      </c>
      <c r="K13" s="6">
        <f t="shared" si="0"/>
        <v>101559</v>
      </c>
      <c r="L13" s="10">
        <f t="shared" si="1"/>
        <v>33853</v>
      </c>
      <c r="M13" s="12">
        <f t="shared" si="2"/>
        <v>3.6963167129681361E-2</v>
      </c>
      <c r="N13" s="6" t="str">
        <f t="shared" si="3"/>
        <v>no</v>
      </c>
      <c r="O13" s="6" t="str">
        <f t="shared" si="4"/>
        <v>no</v>
      </c>
      <c r="P13" s="6" t="str">
        <f t="shared" si="5"/>
        <v>ER</v>
      </c>
      <c r="Q13" s="6" t="str">
        <f t="shared" si="6"/>
        <v>2021</v>
      </c>
      <c r="R13">
        <f t="shared" si="7"/>
        <v>9</v>
      </c>
    </row>
    <row r="14" spans="1:20" x14ac:dyDescent="0.3">
      <c r="A14" s="5" t="s">
        <v>89</v>
      </c>
      <c r="B14" s="5" t="s">
        <v>86</v>
      </c>
      <c r="C14" s="5" t="s">
        <v>50</v>
      </c>
      <c r="D14" s="5" t="s">
        <v>37</v>
      </c>
      <c r="E14" s="5">
        <v>61245</v>
      </c>
      <c r="F14" s="5">
        <v>47869</v>
      </c>
      <c r="G14" s="5">
        <v>85435</v>
      </c>
      <c r="H14" s="5" t="s">
        <v>87</v>
      </c>
      <c r="I14" s="5" t="s">
        <v>90</v>
      </c>
      <c r="K14" s="6">
        <f t="shared" si="0"/>
        <v>194549</v>
      </c>
      <c r="L14" s="10">
        <f t="shared" si="1"/>
        <v>64849.666666666664</v>
      </c>
      <c r="M14" s="12">
        <f t="shared" si="2"/>
        <v>7.0807581818572246E-2</v>
      </c>
      <c r="N14" s="6" t="str">
        <f t="shared" si="3"/>
        <v>yes</v>
      </c>
      <c r="O14" s="6" t="str">
        <f t="shared" si="4"/>
        <v>yes</v>
      </c>
      <c r="P14" s="6" t="str">
        <f t="shared" si="5"/>
        <v>SR</v>
      </c>
      <c r="Q14" s="6" t="str">
        <f t="shared" si="6"/>
        <v>2022</v>
      </c>
      <c r="R14">
        <f t="shared" si="7"/>
        <v>9</v>
      </c>
    </row>
    <row r="15" spans="1:20" x14ac:dyDescent="0.3">
      <c r="A15" s="5" t="s">
        <v>91</v>
      </c>
      <c r="B15" s="5" t="s">
        <v>92</v>
      </c>
      <c r="C15" s="5" t="s">
        <v>36</v>
      </c>
      <c r="D15" s="5" t="s">
        <v>37</v>
      </c>
      <c r="E15" s="5">
        <v>52325</v>
      </c>
      <c r="F15" s="5">
        <v>54438</v>
      </c>
      <c r="G15" s="5">
        <v>76155</v>
      </c>
      <c r="H15" s="5" t="s">
        <v>93</v>
      </c>
      <c r="I15" s="5" t="s">
        <v>39</v>
      </c>
      <c r="K15" s="6">
        <f t="shared" si="0"/>
        <v>182918</v>
      </c>
      <c r="L15" s="10">
        <f t="shared" si="1"/>
        <v>60972.666666666664</v>
      </c>
      <c r="M15" s="12">
        <f t="shared" si="2"/>
        <v>6.6574391290058529E-2</v>
      </c>
      <c r="N15" s="6" t="str">
        <f t="shared" si="3"/>
        <v>yes</v>
      </c>
      <c r="O15" s="6" t="str">
        <f t="shared" si="4"/>
        <v>yes</v>
      </c>
      <c r="P15" s="6" t="str">
        <f t="shared" si="5"/>
        <v>SR</v>
      </c>
      <c r="Q15" s="6" t="str">
        <f t="shared" si="6"/>
        <v>2023</v>
      </c>
      <c r="R15">
        <f t="shared" si="7"/>
        <v>12</v>
      </c>
    </row>
    <row r="16" spans="1:20" x14ac:dyDescent="0.3">
      <c r="A16" s="5" t="s">
        <v>94</v>
      </c>
      <c r="B16" s="5" t="s">
        <v>95</v>
      </c>
      <c r="C16" s="5" t="s">
        <v>56</v>
      </c>
      <c r="D16" s="5" t="s">
        <v>37</v>
      </c>
      <c r="E16" s="5">
        <v>86784</v>
      </c>
      <c r="F16" s="5">
        <v>84686</v>
      </c>
      <c r="G16" s="5">
        <v>31915</v>
      </c>
      <c r="H16" s="5" t="s">
        <v>96</v>
      </c>
      <c r="I16" s="5" t="s">
        <v>97</v>
      </c>
      <c r="K16" s="6">
        <f t="shared" si="0"/>
        <v>203385</v>
      </c>
      <c r="L16" s="10">
        <f t="shared" si="1"/>
        <v>67795</v>
      </c>
      <c r="M16" s="12">
        <f t="shared" si="2"/>
        <v>7.4023510931283718E-2</v>
      </c>
      <c r="N16" s="6" t="str">
        <f t="shared" si="3"/>
        <v>yes</v>
      </c>
      <c r="O16" s="6" t="str">
        <f t="shared" si="4"/>
        <v>yes</v>
      </c>
      <c r="P16" s="6" t="str">
        <f t="shared" si="5"/>
        <v>SR</v>
      </c>
      <c r="Q16" s="6" t="str">
        <f t="shared" si="6"/>
        <v>2019</v>
      </c>
      <c r="R16">
        <f t="shared" si="7"/>
        <v>10</v>
      </c>
    </row>
    <row r="17" spans="1:18" x14ac:dyDescent="0.3">
      <c r="A17" s="5" t="s">
        <v>98</v>
      </c>
      <c r="B17" s="5" t="s">
        <v>99</v>
      </c>
      <c r="C17" s="5" t="s">
        <v>56</v>
      </c>
      <c r="D17" s="5" t="s">
        <v>57</v>
      </c>
      <c r="E17" s="5">
        <v>28326</v>
      </c>
      <c r="F17" s="5">
        <v>70432</v>
      </c>
      <c r="G17" s="5">
        <v>70019</v>
      </c>
      <c r="H17" s="5" t="s">
        <v>100</v>
      </c>
      <c r="I17" s="5" t="s">
        <v>101</v>
      </c>
      <c r="K17" s="6">
        <f t="shared" si="0"/>
        <v>168777</v>
      </c>
      <c r="L17" s="10">
        <f t="shared" si="1"/>
        <v>56259</v>
      </c>
      <c r="M17" s="12">
        <f t="shared" si="2"/>
        <v>6.1427667253972869E-2</v>
      </c>
      <c r="N17" s="6" t="str">
        <f t="shared" si="3"/>
        <v>yes</v>
      </c>
      <c r="O17" s="6" t="str">
        <f t="shared" si="4"/>
        <v>no</v>
      </c>
      <c r="P17" s="6" t="str">
        <f t="shared" si="5"/>
        <v>WR</v>
      </c>
      <c r="Q17" s="6" t="str">
        <f t="shared" si="6"/>
        <v>2023</v>
      </c>
      <c r="R17">
        <f t="shared" si="7"/>
        <v>11</v>
      </c>
    </row>
    <row r="18" spans="1:18" x14ac:dyDescent="0.3">
      <c r="A18" s="5" t="s">
        <v>102</v>
      </c>
      <c r="B18" s="5" t="s">
        <v>103</v>
      </c>
      <c r="C18" s="5" t="s">
        <v>36</v>
      </c>
      <c r="D18" s="5" t="s">
        <v>44</v>
      </c>
      <c r="E18" s="5">
        <v>35014</v>
      </c>
      <c r="F18" s="5">
        <v>54973</v>
      </c>
      <c r="G18" s="5">
        <v>64587</v>
      </c>
      <c r="H18" s="5" t="s">
        <v>104</v>
      </c>
      <c r="I18" s="5" t="s">
        <v>105</v>
      </c>
      <c r="K18" s="6">
        <f t="shared" si="0"/>
        <v>154574</v>
      </c>
      <c r="L18" s="10">
        <f t="shared" si="1"/>
        <v>51524.666666666664</v>
      </c>
      <c r="M18" s="12">
        <f t="shared" si="2"/>
        <v>5.6258377848377457E-2</v>
      </c>
      <c r="N18" s="6" t="str">
        <f t="shared" si="3"/>
        <v>yes</v>
      </c>
      <c r="O18" s="6" t="str">
        <f t="shared" si="4"/>
        <v>yes</v>
      </c>
      <c r="P18" s="6" t="str">
        <f t="shared" si="5"/>
        <v>NR</v>
      </c>
      <c r="Q18" s="6" t="str">
        <f t="shared" si="6"/>
        <v>2019</v>
      </c>
      <c r="R18">
        <f t="shared" si="7"/>
        <v>12</v>
      </c>
    </row>
    <row r="19" spans="1:18" x14ac:dyDescent="0.3">
      <c r="A19" s="5" t="s">
        <v>106</v>
      </c>
      <c r="B19" s="5" t="s">
        <v>107</v>
      </c>
      <c r="C19" s="5" t="s">
        <v>56</v>
      </c>
      <c r="D19" s="5" t="s">
        <v>57</v>
      </c>
      <c r="E19" s="5">
        <v>20425</v>
      </c>
      <c r="F19" s="5">
        <v>54522</v>
      </c>
      <c r="G19" s="5">
        <v>85612</v>
      </c>
      <c r="H19" s="5" t="s">
        <v>108</v>
      </c>
      <c r="I19" s="5" t="s">
        <v>59</v>
      </c>
      <c r="K19" s="6">
        <f t="shared" si="0"/>
        <v>160559</v>
      </c>
      <c r="L19" s="10">
        <f t="shared" si="1"/>
        <v>53519.666666666664</v>
      </c>
      <c r="M19" s="12">
        <f t="shared" si="2"/>
        <v>5.8436663921213376E-2</v>
      </c>
      <c r="N19" s="6" t="str">
        <f t="shared" si="3"/>
        <v>yes</v>
      </c>
      <c r="O19" s="6" t="str">
        <f t="shared" si="4"/>
        <v>no</v>
      </c>
      <c r="P19" s="6" t="str">
        <f t="shared" si="5"/>
        <v>WR</v>
      </c>
      <c r="Q19" s="6" t="str">
        <f t="shared" si="6"/>
        <v>2020</v>
      </c>
      <c r="R19">
        <f t="shared" si="7"/>
        <v>12</v>
      </c>
    </row>
    <row r="20" spans="1:18" x14ac:dyDescent="0.3">
      <c r="A20" s="5" t="s">
        <v>109</v>
      </c>
      <c r="B20" s="5" t="s">
        <v>110</v>
      </c>
      <c r="C20" s="5" t="s">
        <v>36</v>
      </c>
      <c r="D20" s="5" t="s">
        <v>37</v>
      </c>
      <c r="E20" s="5">
        <v>40032</v>
      </c>
      <c r="F20" s="5">
        <v>69009</v>
      </c>
      <c r="G20" s="5">
        <v>41174</v>
      </c>
      <c r="H20" s="5" t="s">
        <v>111</v>
      </c>
      <c r="I20" s="5" t="s">
        <v>39</v>
      </c>
      <c r="K20" s="6">
        <f t="shared" si="0"/>
        <v>150215</v>
      </c>
      <c r="L20" s="10">
        <f t="shared" si="1"/>
        <v>50071.666666666664</v>
      </c>
      <c r="M20" s="12">
        <f t="shared" si="2"/>
        <v>5.4671886788813254E-2</v>
      </c>
      <c r="N20" s="6" t="str">
        <f t="shared" si="3"/>
        <v>yes</v>
      </c>
      <c r="O20" s="6" t="str">
        <f t="shared" si="4"/>
        <v>yes</v>
      </c>
      <c r="P20" s="6" t="str">
        <f t="shared" si="5"/>
        <v>SR</v>
      </c>
      <c r="Q20" s="6" t="str">
        <f t="shared" si="6"/>
        <v>2023</v>
      </c>
      <c r="R20">
        <f t="shared" si="7"/>
        <v>12</v>
      </c>
    </row>
    <row r="21" spans="1:18" x14ac:dyDescent="0.3">
      <c r="A21" s="5" t="s">
        <v>112</v>
      </c>
      <c r="B21" s="5" t="s">
        <v>113</v>
      </c>
      <c r="C21" s="5" t="s">
        <v>36</v>
      </c>
      <c r="D21" s="5" t="s">
        <v>57</v>
      </c>
      <c r="E21" s="5">
        <v>22552</v>
      </c>
      <c r="F21" s="5">
        <v>34662</v>
      </c>
      <c r="G21" s="5">
        <v>67576</v>
      </c>
      <c r="H21" s="5" t="s">
        <v>114</v>
      </c>
      <c r="I21" s="5" t="s">
        <v>115</v>
      </c>
      <c r="K21" s="6">
        <f t="shared" si="0"/>
        <v>124790</v>
      </c>
      <c r="L21" s="10">
        <f t="shared" si="1"/>
        <v>41596.666666666664</v>
      </c>
      <c r="M21" s="12">
        <f t="shared" si="2"/>
        <v>4.5418265501953908E-2</v>
      </c>
      <c r="N21" s="6" t="str">
        <f t="shared" si="3"/>
        <v>no</v>
      </c>
      <c r="O21" s="6" t="str">
        <f t="shared" si="4"/>
        <v>no</v>
      </c>
      <c r="P21" s="6" t="str">
        <f t="shared" si="5"/>
        <v>WR</v>
      </c>
      <c r="Q21" s="6" t="str">
        <f t="shared" si="6"/>
        <v>2021</v>
      </c>
      <c r="R21">
        <f t="shared" si="7"/>
        <v>13</v>
      </c>
    </row>
    <row r="22" spans="1:18" x14ac:dyDescent="0.3">
      <c r="A22" s="5" t="s">
        <v>116</v>
      </c>
      <c r="B22" s="5" t="s">
        <v>117</v>
      </c>
      <c r="C22" s="5" t="s">
        <v>56</v>
      </c>
      <c r="D22" s="5" t="s">
        <v>44</v>
      </c>
      <c r="E22" s="5">
        <v>31226</v>
      </c>
      <c r="F22" s="5">
        <v>83699</v>
      </c>
      <c r="G22" s="5">
        <v>29071</v>
      </c>
      <c r="H22" s="5" t="s">
        <v>118</v>
      </c>
      <c r="I22" s="5" t="s">
        <v>119</v>
      </c>
      <c r="K22" s="6">
        <f t="shared" si="0"/>
        <v>143996</v>
      </c>
      <c r="L22" s="10">
        <f t="shared" si="1"/>
        <v>47998.666666666664</v>
      </c>
      <c r="M22" s="12">
        <f t="shared" si="2"/>
        <v>5.2408434643956683E-2</v>
      </c>
      <c r="N22" s="6" t="str">
        <f t="shared" si="3"/>
        <v>no</v>
      </c>
      <c r="O22" s="6" t="str">
        <f t="shared" si="4"/>
        <v>yes</v>
      </c>
      <c r="P22" s="6" t="str">
        <f t="shared" si="5"/>
        <v>NR</v>
      </c>
      <c r="Q22" s="6" t="str">
        <f t="shared" si="6"/>
        <v>2023</v>
      </c>
      <c r="R22">
        <f t="shared" si="7"/>
        <v>11</v>
      </c>
    </row>
    <row r="23" spans="1:18" x14ac:dyDescent="0.3">
      <c r="A23" s="5" t="s">
        <v>120</v>
      </c>
      <c r="B23" s="5" t="s">
        <v>121</v>
      </c>
      <c r="C23" s="5" t="s">
        <v>43</v>
      </c>
      <c r="D23" s="5" t="s">
        <v>37</v>
      </c>
      <c r="E23" s="5">
        <v>54741</v>
      </c>
      <c r="F23" s="5">
        <v>89163</v>
      </c>
      <c r="G23" s="5">
        <v>75461</v>
      </c>
      <c r="H23" s="5" t="s">
        <v>122</v>
      </c>
      <c r="I23" s="5" t="s">
        <v>123</v>
      </c>
      <c r="K23" s="6">
        <f t="shared" si="0"/>
        <v>219365</v>
      </c>
      <c r="L23" s="10">
        <f t="shared" si="1"/>
        <v>73121.666666666672</v>
      </c>
      <c r="M23" s="12">
        <f t="shared" si="2"/>
        <v>7.9839552943634248E-2</v>
      </c>
      <c r="N23" s="6" t="str">
        <f t="shared" si="3"/>
        <v>yes</v>
      </c>
      <c r="O23" s="6" t="str">
        <f t="shared" si="4"/>
        <v>yes</v>
      </c>
      <c r="P23" s="6" t="str">
        <f t="shared" si="5"/>
        <v>SR</v>
      </c>
      <c r="Q23" s="6" t="str">
        <f t="shared" si="6"/>
        <v>2020</v>
      </c>
      <c r="R23">
        <f t="shared" si="7"/>
        <v>12</v>
      </c>
    </row>
    <row r="24" spans="1:18" x14ac:dyDescent="0.3">
      <c r="A24" s="3" t="s">
        <v>124</v>
      </c>
      <c r="K24" s="6"/>
      <c r="L24" s="10"/>
      <c r="M24" s="11"/>
    </row>
    <row r="25" spans="1:18" x14ac:dyDescent="0.3">
      <c r="K25" s="6"/>
      <c r="L25" s="10"/>
    </row>
    <row r="26" spans="1:18" x14ac:dyDescent="0.3">
      <c r="K26" s="6"/>
      <c r="L26" s="10"/>
    </row>
    <row r="29" spans="1:18" x14ac:dyDescent="0.3">
      <c r="A29" s="8" t="s">
        <v>125</v>
      </c>
      <c r="K29" s="6">
        <f>SUM(E7:G23)</f>
        <v>2747573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53"/>
  <sheetViews>
    <sheetView zoomScale="62" zoomScaleNormal="160" workbookViewId="0">
      <pane ySplit="3" topLeftCell="A12" activePane="bottomLeft" state="frozen"/>
      <selection pane="bottomLeft" activeCell="N36" sqref="N36"/>
    </sheetView>
  </sheetViews>
  <sheetFormatPr defaultRowHeight="14.4" x14ac:dyDescent="0.3"/>
  <cols>
    <col min="1" max="1" width="50.77734375" bestFit="1" customWidth="1"/>
    <col min="2" max="2" width="18.88671875" bestFit="1" customWidth="1"/>
    <col min="3" max="3" width="10.5546875" bestFit="1" customWidth="1"/>
    <col min="4" max="4" width="16.88671875" bestFit="1" customWidth="1"/>
    <col min="5" max="5" width="9.21875" bestFit="1" customWidth="1"/>
    <col min="6" max="6" width="7.88671875" bestFit="1" customWidth="1"/>
    <col min="7" max="7" width="10.88671875" bestFit="1" customWidth="1"/>
    <col min="8" max="8" width="19.109375" bestFit="1" customWidth="1"/>
    <col min="9" max="9" width="10.5546875" bestFit="1" customWidth="1"/>
    <col min="10" max="10" width="13.21875" bestFit="1" customWidth="1"/>
    <col min="11" max="11" width="18.21875" bestFit="1" customWidth="1"/>
    <col min="13" max="13" width="13.109375" bestFit="1" customWidth="1"/>
    <col min="14" max="14" width="75" customWidth="1"/>
  </cols>
  <sheetData>
    <row r="1" spans="1:4" ht="17.399999999999999" x14ac:dyDescent="0.3">
      <c r="A1" s="1" t="s">
        <v>126</v>
      </c>
    </row>
    <row r="3" spans="1:4" x14ac:dyDescent="0.3">
      <c r="A3" s="2" t="s">
        <v>127</v>
      </c>
    </row>
    <row r="4" spans="1:4" x14ac:dyDescent="0.3">
      <c r="A4" s="4" t="s">
        <v>128</v>
      </c>
      <c r="B4" s="4" t="s">
        <v>129</v>
      </c>
      <c r="C4" s="4" t="s">
        <v>130</v>
      </c>
      <c r="D4" s="4" t="s">
        <v>131</v>
      </c>
    </row>
    <row r="5" spans="1:4" x14ac:dyDescent="0.3">
      <c r="A5" s="5" t="s">
        <v>132</v>
      </c>
      <c r="B5" s="5" t="s">
        <v>133</v>
      </c>
      <c r="C5" s="5" t="s">
        <v>134</v>
      </c>
      <c r="D5" s="5">
        <v>799</v>
      </c>
    </row>
    <row r="6" spans="1:4" x14ac:dyDescent="0.3">
      <c r="A6" s="5" t="s">
        <v>135</v>
      </c>
      <c r="B6" s="5" t="s">
        <v>136</v>
      </c>
      <c r="C6" s="5" t="s">
        <v>134</v>
      </c>
      <c r="D6" s="5">
        <v>2499</v>
      </c>
    </row>
    <row r="7" spans="1:4" x14ac:dyDescent="0.3">
      <c r="A7" s="5" t="s">
        <v>137</v>
      </c>
      <c r="B7" s="5" t="s">
        <v>138</v>
      </c>
      <c r="C7" s="5" t="s">
        <v>134</v>
      </c>
      <c r="D7" s="5">
        <v>1299</v>
      </c>
    </row>
    <row r="8" spans="1:4" x14ac:dyDescent="0.3">
      <c r="A8" s="5" t="s">
        <v>139</v>
      </c>
      <c r="B8" s="5" t="s">
        <v>140</v>
      </c>
      <c r="C8" s="5" t="s">
        <v>141</v>
      </c>
      <c r="D8" s="5">
        <v>99</v>
      </c>
    </row>
    <row r="9" spans="1:4" x14ac:dyDescent="0.3">
      <c r="A9" s="5" t="s">
        <v>142</v>
      </c>
      <c r="B9" s="5" t="s">
        <v>143</v>
      </c>
      <c r="C9" s="5" t="s">
        <v>141</v>
      </c>
      <c r="D9" s="5">
        <v>149</v>
      </c>
    </row>
    <row r="10" spans="1:4" x14ac:dyDescent="0.3">
      <c r="A10" s="5" t="s">
        <v>144</v>
      </c>
      <c r="B10" s="5" t="s">
        <v>145</v>
      </c>
      <c r="C10" s="5" t="s">
        <v>146</v>
      </c>
      <c r="D10" s="5">
        <v>1899</v>
      </c>
    </row>
    <row r="11" spans="1:4" x14ac:dyDescent="0.3">
      <c r="A11" s="5" t="s">
        <v>147</v>
      </c>
      <c r="B11" s="5" t="s">
        <v>148</v>
      </c>
      <c r="C11" s="5" t="s">
        <v>146</v>
      </c>
      <c r="D11" s="5">
        <v>6999</v>
      </c>
    </row>
    <row r="12" spans="1:4" x14ac:dyDescent="0.3">
      <c r="A12" s="5" t="s">
        <v>149</v>
      </c>
      <c r="B12" s="5" t="s">
        <v>150</v>
      </c>
      <c r="C12" s="5" t="s">
        <v>151</v>
      </c>
      <c r="D12" s="5">
        <v>349</v>
      </c>
    </row>
    <row r="13" spans="1:4" x14ac:dyDescent="0.3">
      <c r="A13" s="5" t="s">
        <v>152</v>
      </c>
      <c r="B13" s="5" t="s">
        <v>153</v>
      </c>
      <c r="C13" s="5" t="s">
        <v>151</v>
      </c>
      <c r="D13" s="5">
        <v>2199</v>
      </c>
    </row>
    <row r="14" spans="1:4" x14ac:dyDescent="0.3">
      <c r="A14" s="5" t="s">
        <v>154</v>
      </c>
      <c r="B14" s="5" t="s">
        <v>155</v>
      </c>
      <c r="C14" s="5" t="s">
        <v>146</v>
      </c>
      <c r="D14" s="5">
        <v>999</v>
      </c>
    </row>
    <row r="16" spans="1:4" x14ac:dyDescent="0.3">
      <c r="A16" s="2" t="s">
        <v>156</v>
      </c>
    </row>
    <row r="17" spans="1:14" x14ac:dyDescent="0.3">
      <c r="A17" s="4" t="s">
        <v>157</v>
      </c>
      <c r="B17" s="4" t="s">
        <v>158</v>
      </c>
      <c r="C17" s="4" t="s">
        <v>128</v>
      </c>
      <c r="D17" s="4" t="s">
        <v>159</v>
      </c>
      <c r="E17" s="4" t="s">
        <v>160</v>
      </c>
      <c r="F17" s="4" t="s">
        <v>21</v>
      </c>
      <c r="G17" s="13" t="s">
        <v>335</v>
      </c>
      <c r="H17" s="4" t="s">
        <v>161</v>
      </c>
      <c r="I17" s="4" t="s">
        <v>162</v>
      </c>
      <c r="J17" s="4" t="s">
        <v>163</v>
      </c>
      <c r="K17" s="4" t="s">
        <v>164</v>
      </c>
      <c r="L17" s="13" t="s">
        <v>333</v>
      </c>
      <c r="M17" s="13" t="s">
        <v>334</v>
      </c>
      <c r="N17" s="2" t="s">
        <v>165</v>
      </c>
    </row>
    <row r="18" spans="1:14" ht="26.4" x14ac:dyDescent="0.3">
      <c r="A18" s="5" t="s">
        <v>166</v>
      </c>
      <c r="B18" s="9">
        <v>45467</v>
      </c>
      <c r="C18" s="5" t="s">
        <v>152</v>
      </c>
      <c r="D18" s="5" t="s">
        <v>167</v>
      </c>
      <c r="E18" s="5">
        <v>5</v>
      </c>
      <c r="F18" s="5" t="s">
        <v>57</v>
      </c>
      <c r="G18" t="str">
        <f>_xlfn.XLOOKUP(C18,$A$5:$A$14,$C$5:$C$14)</f>
        <v>Lifestyle</v>
      </c>
      <c r="H18" s="6">
        <f>_xlfn.XLOOKUP(C18,$A$5:$A$14,$D$5:$D$14)</f>
        <v>2199</v>
      </c>
      <c r="I18" s="6">
        <f>H18*E18</f>
        <v>10995</v>
      </c>
      <c r="J18" s="6" t="str">
        <f>TEXT(B18,"mmmm")</f>
        <v>June</v>
      </c>
      <c r="K18" s="14">
        <f ca="1">DATEDIF(B18,TODAY(),"d")</f>
        <v>821</v>
      </c>
      <c r="L18">
        <f>VLOOKUP(C18,$A$5:$D$14,4,FALSE)</f>
        <v>2199</v>
      </c>
      <c r="M18">
        <f>INDEX($D$5:$D$14,MATCH(C18,$A$5:$A$14,0))</f>
        <v>2199</v>
      </c>
      <c r="N18" s="7" t="s">
        <v>168</v>
      </c>
    </row>
    <row r="19" spans="1:14" ht="39.6" x14ac:dyDescent="0.3">
      <c r="A19" s="5" t="s">
        <v>169</v>
      </c>
      <c r="B19" s="9">
        <v>45359</v>
      </c>
      <c r="C19" s="5" t="s">
        <v>144</v>
      </c>
      <c r="D19" s="5" t="s">
        <v>170</v>
      </c>
      <c r="E19" s="5">
        <v>8</v>
      </c>
      <c r="F19" s="5" t="s">
        <v>44</v>
      </c>
      <c r="G19" t="str">
        <f t="shared" ref="G19:G47" si="0">_xlfn.XLOOKUP(C19,$A$5:$A$14,$C$5:$C$14)</f>
        <v>Furniture</v>
      </c>
      <c r="H19" s="6">
        <f>_xlfn.XLOOKUP(C19,$A$5:$A$14,$D$5:$D$14)</f>
        <v>1899</v>
      </c>
      <c r="I19" s="6">
        <f t="shared" ref="I19:I47" si="1">H19*E19</f>
        <v>15192</v>
      </c>
      <c r="J19" s="6" t="str">
        <f t="shared" ref="J19:J47" si="2">TEXT(B19,"mmmm")</f>
        <v>March</v>
      </c>
      <c r="K19" s="14">
        <f t="shared" ref="K19:K47" ca="1" si="3">DATEDIF(B19,TODAY(),"d")</f>
        <v>929</v>
      </c>
      <c r="L19">
        <f t="shared" ref="L19:L47" si="4">VLOOKUP(C19,$A$5:$D$14,4,FALSE)</f>
        <v>1899</v>
      </c>
      <c r="M19">
        <f>INDEX($D$5:$D$14,MATCH(C19,$A$5:$A$14,0))</f>
        <v>1899</v>
      </c>
      <c r="N19" s="7" t="s">
        <v>171</v>
      </c>
    </row>
    <row r="20" spans="1:14" x14ac:dyDescent="0.3">
      <c r="A20" s="5" t="s">
        <v>172</v>
      </c>
      <c r="B20" s="9">
        <v>45446</v>
      </c>
      <c r="C20" s="5" t="s">
        <v>139</v>
      </c>
      <c r="D20" s="5" t="s">
        <v>173</v>
      </c>
      <c r="E20" s="5">
        <v>6</v>
      </c>
      <c r="F20" s="5" t="s">
        <v>44</v>
      </c>
      <c r="G20" t="str">
        <f t="shared" si="0"/>
        <v>Stationery</v>
      </c>
      <c r="H20" s="6">
        <f t="shared" ref="H20:H47" si="5">_xlfn.XLOOKUP(C20,$A$5:$A$14,$D$5:$D$14)</f>
        <v>99</v>
      </c>
      <c r="I20" s="6">
        <f t="shared" si="1"/>
        <v>594</v>
      </c>
      <c r="J20" s="6" t="str">
        <f t="shared" si="2"/>
        <v>June</v>
      </c>
      <c r="K20" s="14">
        <f t="shared" ca="1" si="3"/>
        <v>842</v>
      </c>
      <c r="L20">
        <f t="shared" si="4"/>
        <v>99</v>
      </c>
      <c r="M20">
        <f t="shared" ref="M20:M47" si="6">INDEX($D$5:$D$14,MATCH(C20,$A$5:$A$14,0))</f>
        <v>99</v>
      </c>
      <c r="N20" s="7" t="s">
        <v>174</v>
      </c>
    </row>
    <row r="21" spans="1:14" x14ac:dyDescent="0.3">
      <c r="A21" s="5" t="s">
        <v>175</v>
      </c>
      <c r="B21" s="9">
        <v>45314</v>
      </c>
      <c r="C21" s="5" t="s">
        <v>152</v>
      </c>
      <c r="D21" s="5" t="s">
        <v>167</v>
      </c>
      <c r="E21" s="5">
        <v>4</v>
      </c>
      <c r="F21" s="5" t="s">
        <v>44</v>
      </c>
      <c r="G21" t="str">
        <f t="shared" si="0"/>
        <v>Lifestyle</v>
      </c>
      <c r="H21" s="6">
        <f t="shared" si="5"/>
        <v>2199</v>
      </c>
      <c r="I21" s="6">
        <f t="shared" si="1"/>
        <v>8796</v>
      </c>
      <c r="J21" s="6" t="str">
        <f t="shared" si="2"/>
        <v>January</v>
      </c>
      <c r="K21" s="14">
        <f t="shared" ca="1" si="3"/>
        <v>974</v>
      </c>
      <c r="L21">
        <f t="shared" si="4"/>
        <v>2199</v>
      </c>
      <c r="M21">
        <f t="shared" si="6"/>
        <v>2199</v>
      </c>
      <c r="N21" s="7" t="s">
        <v>176</v>
      </c>
    </row>
    <row r="22" spans="1:14" x14ac:dyDescent="0.3">
      <c r="A22" s="5" t="s">
        <v>177</v>
      </c>
      <c r="B22" s="9">
        <v>45380</v>
      </c>
      <c r="C22" s="5" t="s">
        <v>132</v>
      </c>
      <c r="D22" s="5" t="s">
        <v>167</v>
      </c>
      <c r="E22" s="5">
        <v>2</v>
      </c>
      <c r="F22" s="5" t="s">
        <v>44</v>
      </c>
      <c r="G22" t="str">
        <f t="shared" si="0"/>
        <v>Electronics</v>
      </c>
      <c r="H22" s="6">
        <f t="shared" si="5"/>
        <v>799</v>
      </c>
      <c r="I22" s="6">
        <f t="shared" si="1"/>
        <v>1598</v>
      </c>
      <c r="J22" s="6" t="str">
        <f t="shared" si="2"/>
        <v>March</v>
      </c>
      <c r="K22" s="14">
        <f t="shared" ca="1" si="3"/>
        <v>908</v>
      </c>
      <c r="L22">
        <f t="shared" si="4"/>
        <v>799</v>
      </c>
      <c r="M22">
        <f t="shared" si="6"/>
        <v>799</v>
      </c>
      <c r="N22" s="7" t="s">
        <v>178</v>
      </c>
    </row>
    <row r="23" spans="1:14" x14ac:dyDescent="0.3">
      <c r="A23" s="5" t="s">
        <v>179</v>
      </c>
      <c r="B23" s="9">
        <v>45467</v>
      </c>
      <c r="C23" s="5" t="s">
        <v>135</v>
      </c>
      <c r="D23" s="5" t="s">
        <v>180</v>
      </c>
      <c r="E23" s="5">
        <v>4</v>
      </c>
      <c r="F23" s="5" t="s">
        <v>76</v>
      </c>
      <c r="G23" t="str">
        <f t="shared" si="0"/>
        <v>Electronics</v>
      </c>
      <c r="H23" s="6">
        <f t="shared" si="5"/>
        <v>2499</v>
      </c>
      <c r="I23" s="6">
        <f t="shared" si="1"/>
        <v>9996</v>
      </c>
      <c r="J23" s="6" t="str">
        <f t="shared" si="2"/>
        <v>June</v>
      </c>
      <c r="K23" s="14">
        <f t="shared" ca="1" si="3"/>
        <v>821</v>
      </c>
      <c r="L23">
        <f t="shared" si="4"/>
        <v>2499</v>
      </c>
      <c r="M23">
        <f t="shared" si="6"/>
        <v>2499</v>
      </c>
      <c r="N23" s="7" t="s">
        <v>181</v>
      </c>
    </row>
    <row r="24" spans="1:14" ht="26.4" x14ac:dyDescent="0.3">
      <c r="A24" s="5" t="s">
        <v>182</v>
      </c>
      <c r="B24" s="9">
        <v>45358</v>
      </c>
      <c r="C24" s="5" t="s">
        <v>149</v>
      </c>
      <c r="D24" s="5" t="s">
        <v>167</v>
      </c>
      <c r="E24" s="5">
        <v>3</v>
      </c>
      <c r="F24" s="5" t="s">
        <v>57</v>
      </c>
      <c r="G24" t="str">
        <f t="shared" si="0"/>
        <v>Lifestyle</v>
      </c>
      <c r="H24" s="6">
        <f t="shared" si="5"/>
        <v>349</v>
      </c>
      <c r="I24" s="6">
        <f t="shared" si="1"/>
        <v>1047</v>
      </c>
      <c r="J24" s="6" t="str">
        <f t="shared" si="2"/>
        <v>March</v>
      </c>
      <c r="K24" s="14">
        <f t="shared" ca="1" si="3"/>
        <v>930</v>
      </c>
      <c r="L24">
        <f t="shared" si="4"/>
        <v>349</v>
      </c>
      <c r="M24">
        <f t="shared" si="6"/>
        <v>349</v>
      </c>
      <c r="N24" s="7" t="s">
        <v>183</v>
      </c>
    </row>
    <row r="25" spans="1:14" ht="39.6" x14ac:dyDescent="0.3">
      <c r="A25" s="5" t="s">
        <v>184</v>
      </c>
      <c r="B25" s="9">
        <v>45320</v>
      </c>
      <c r="C25" s="5" t="s">
        <v>149</v>
      </c>
      <c r="D25" s="5" t="s">
        <v>185</v>
      </c>
      <c r="E25" s="5">
        <v>4</v>
      </c>
      <c r="F25" s="5" t="s">
        <v>44</v>
      </c>
      <c r="G25" t="str">
        <f t="shared" si="0"/>
        <v>Lifestyle</v>
      </c>
      <c r="H25" s="6">
        <f t="shared" si="5"/>
        <v>349</v>
      </c>
      <c r="I25" s="6">
        <f t="shared" si="1"/>
        <v>1396</v>
      </c>
      <c r="J25" s="6" t="str">
        <f t="shared" si="2"/>
        <v>January</v>
      </c>
      <c r="K25" s="14">
        <f t="shared" ca="1" si="3"/>
        <v>968</v>
      </c>
      <c r="L25">
        <f t="shared" si="4"/>
        <v>349</v>
      </c>
      <c r="M25">
        <f t="shared" si="6"/>
        <v>349</v>
      </c>
      <c r="N25" s="7" t="s">
        <v>186</v>
      </c>
    </row>
    <row r="26" spans="1:14" x14ac:dyDescent="0.3">
      <c r="A26" s="5" t="s">
        <v>187</v>
      </c>
      <c r="B26" s="9">
        <v>45415</v>
      </c>
      <c r="C26" s="5" t="s">
        <v>147</v>
      </c>
      <c r="D26" s="5" t="s">
        <v>188</v>
      </c>
      <c r="E26" s="5">
        <v>7</v>
      </c>
      <c r="F26" s="5" t="s">
        <v>57</v>
      </c>
      <c r="G26" t="str">
        <f t="shared" si="0"/>
        <v>Furniture</v>
      </c>
      <c r="H26" s="6">
        <f t="shared" si="5"/>
        <v>6999</v>
      </c>
      <c r="I26" s="6">
        <f t="shared" si="1"/>
        <v>48993</v>
      </c>
      <c r="J26" s="6" t="str">
        <f t="shared" si="2"/>
        <v>May</v>
      </c>
      <c r="K26" s="14">
        <f t="shared" ca="1" si="3"/>
        <v>873</v>
      </c>
      <c r="L26">
        <f t="shared" si="4"/>
        <v>6999</v>
      </c>
      <c r="M26">
        <f t="shared" si="6"/>
        <v>6999</v>
      </c>
    </row>
    <row r="27" spans="1:14" x14ac:dyDescent="0.3">
      <c r="A27" s="5" t="s">
        <v>189</v>
      </c>
      <c r="B27" s="9">
        <v>45482</v>
      </c>
      <c r="C27" s="5" t="s">
        <v>132</v>
      </c>
      <c r="D27" s="5" t="s">
        <v>173</v>
      </c>
      <c r="E27" s="5">
        <v>1</v>
      </c>
      <c r="F27" s="5" t="s">
        <v>57</v>
      </c>
      <c r="G27" t="str">
        <f t="shared" si="0"/>
        <v>Electronics</v>
      </c>
      <c r="H27" s="6">
        <f t="shared" si="5"/>
        <v>799</v>
      </c>
      <c r="I27" s="6">
        <f t="shared" si="1"/>
        <v>799</v>
      </c>
      <c r="J27" s="6" t="str">
        <f t="shared" si="2"/>
        <v>July</v>
      </c>
      <c r="K27" s="14">
        <f t="shared" ca="1" si="3"/>
        <v>806</v>
      </c>
      <c r="L27">
        <f t="shared" si="4"/>
        <v>799</v>
      </c>
      <c r="M27">
        <f t="shared" si="6"/>
        <v>799</v>
      </c>
      <c r="N27">
        <f>MAX(I18:I47)</f>
        <v>55992</v>
      </c>
    </row>
    <row r="28" spans="1:14" x14ac:dyDescent="0.3">
      <c r="A28" s="5" t="s">
        <v>190</v>
      </c>
      <c r="B28" s="9">
        <v>45344</v>
      </c>
      <c r="C28" s="5" t="s">
        <v>144</v>
      </c>
      <c r="D28" s="5" t="s">
        <v>173</v>
      </c>
      <c r="E28" s="5">
        <v>4</v>
      </c>
      <c r="F28" s="5" t="s">
        <v>37</v>
      </c>
      <c r="G28" t="str">
        <f t="shared" si="0"/>
        <v>Furniture</v>
      </c>
      <c r="H28" s="6">
        <f t="shared" si="5"/>
        <v>1899</v>
      </c>
      <c r="I28" s="6">
        <f t="shared" si="1"/>
        <v>7596</v>
      </c>
      <c r="J28" s="6" t="str">
        <f t="shared" si="2"/>
        <v>February</v>
      </c>
      <c r="K28" s="14">
        <f t="shared" ca="1" si="3"/>
        <v>944</v>
      </c>
      <c r="L28">
        <f t="shared" si="4"/>
        <v>1899</v>
      </c>
      <c r="M28">
        <f t="shared" si="6"/>
        <v>1899</v>
      </c>
      <c r="N28">
        <f>SUMIF(G18:G47,"furniture",H18:H47)</f>
        <v>21594</v>
      </c>
    </row>
    <row r="29" spans="1:14" x14ac:dyDescent="0.3">
      <c r="A29" s="5" t="s">
        <v>191</v>
      </c>
      <c r="B29" s="9">
        <v>45342</v>
      </c>
      <c r="C29" s="5" t="s">
        <v>152</v>
      </c>
      <c r="D29" s="5" t="s">
        <v>170</v>
      </c>
      <c r="E29" s="5">
        <v>3</v>
      </c>
      <c r="F29" s="5" t="s">
        <v>57</v>
      </c>
      <c r="G29" t="str">
        <f t="shared" si="0"/>
        <v>Lifestyle</v>
      </c>
      <c r="H29" s="6">
        <f t="shared" si="5"/>
        <v>2199</v>
      </c>
      <c r="I29" s="6">
        <f t="shared" si="1"/>
        <v>6597</v>
      </c>
      <c r="J29" s="6" t="str">
        <f t="shared" si="2"/>
        <v>February</v>
      </c>
      <c r="K29" s="14">
        <f t="shared" ca="1" si="3"/>
        <v>946</v>
      </c>
      <c r="L29">
        <f t="shared" si="4"/>
        <v>2199</v>
      </c>
      <c r="M29">
        <f t="shared" si="6"/>
        <v>2199</v>
      </c>
      <c r="N29" t="str" cm="1">
        <f t="array" ref="N29:N35">_xlfn.UNIQUE(_xlfn._xlws.FILTER(D18:D47,F18:F47="west"))</f>
        <v>Leena</v>
      </c>
    </row>
    <row r="30" spans="1:14" x14ac:dyDescent="0.3">
      <c r="A30" s="5" t="s">
        <v>192</v>
      </c>
      <c r="B30" s="9">
        <v>45409</v>
      </c>
      <c r="C30" s="5" t="s">
        <v>142</v>
      </c>
      <c r="D30" s="5" t="s">
        <v>170</v>
      </c>
      <c r="E30" s="5">
        <v>4</v>
      </c>
      <c r="F30" s="5" t="s">
        <v>44</v>
      </c>
      <c r="G30" t="str">
        <f t="shared" si="0"/>
        <v>Stationery</v>
      </c>
      <c r="H30" s="6">
        <f t="shared" si="5"/>
        <v>149</v>
      </c>
      <c r="I30" s="6">
        <f t="shared" si="1"/>
        <v>596</v>
      </c>
      <c r="J30" s="6" t="str">
        <f t="shared" si="2"/>
        <v>April</v>
      </c>
      <c r="K30" s="14">
        <f t="shared" ca="1" si="3"/>
        <v>879</v>
      </c>
      <c r="L30">
        <f t="shared" si="4"/>
        <v>149</v>
      </c>
      <c r="M30">
        <f t="shared" si="6"/>
        <v>149</v>
      </c>
      <c r="N30" t="str">
        <v>Wei</v>
      </c>
    </row>
    <row r="31" spans="1:14" x14ac:dyDescent="0.3">
      <c r="A31" s="5" t="s">
        <v>193</v>
      </c>
      <c r="B31" s="9">
        <v>45319</v>
      </c>
      <c r="C31" s="5" t="s">
        <v>152</v>
      </c>
      <c r="D31" s="5" t="s">
        <v>173</v>
      </c>
      <c r="E31" s="5">
        <v>1</v>
      </c>
      <c r="F31" s="5" t="s">
        <v>44</v>
      </c>
      <c r="G31" t="str">
        <f t="shared" si="0"/>
        <v>Lifestyle</v>
      </c>
      <c r="H31" s="6">
        <f t="shared" si="5"/>
        <v>2199</v>
      </c>
      <c r="I31" s="6">
        <f t="shared" si="1"/>
        <v>2199</v>
      </c>
      <c r="J31" s="6" t="str">
        <f t="shared" si="2"/>
        <v>January</v>
      </c>
      <c r="K31" s="14">
        <f t="shared" ca="1" si="3"/>
        <v>969</v>
      </c>
      <c r="L31">
        <f t="shared" si="4"/>
        <v>2199</v>
      </c>
      <c r="M31">
        <f t="shared" si="6"/>
        <v>2199</v>
      </c>
      <c r="N31" t="str">
        <v>Fatima</v>
      </c>
    </row>
    <row r="32" spans="1:14" x14ac:dyDescent="0.3">
      <c r="A32" s="5" t="s">
        <v>194</v>
      </c>
      <c r="B32" s="9">
        <v>45419</v>
      </c>
      <c r="C32" s="5" t="s">
        <v>139</v>
      </c>
      <c r="D32" s="5" t="s">
        <v>195</v>
      </c>
      <c r="E32" s="5">
        <v>7</v>
      </c>
      <c r="F32" s="5" t="s">
        <v>57</v>
      </c>
      <c r="G32" t="str">
        <f t="shared" si="0"/>
        <v>Stationery</v>
      </c>
      <c r="H32" s="6">
        <f t="shared" si="5"/>
        <v>99</v>
      </c>
      <c r="I32" s="6">
        <f t="shared" si="1"/>
        <v>693</v>
      </c>
      <c r="J32" s="6" t="str">
        <f t="shared" si="2"/>
        <v>May</v>
      </c>
      <c r="K32" s="14">
        <f t="shared" ca="1" si="3"/>
        <v>869</v>
      </c>
      <c r="L32">
        <f t="shared" si="4"/>
        <v>99</v>
      </c>
      <c r="M32">
        <f t="shared" si="6"/>
        <v>99</v>
      </c>
      <c r="N32" t="str">
        <v>Tom</v>
      </c>
    </row>
    <row r="33" spans="1:14" x14ac:dyDescent="0.3">
      <c r="A33" s="5" t="s">
        <v>196</v>
      </c>
      <c r="B33" s="9">
        <v>45393</v>
      </c>
      <c r="C33" s="5" t="s">
        <v>139</v>
      </c>
      <c r="D33" s="5" t="s">
        <v>185</v>
      </c>
      <c r="E33" s="5">
        <v>1</v>
      </c>
      <c r="F33" s="5" t="s">
        <v>37</v>
      </c>
      <c r="G33" t="str">
        <f t="shared" si="0"/>
        <v>Stationery</v>
      </c>
      <c r="H33" s="6">
        <f t="shared" si="5"/>
        <v>99</v>
      </c>
      <c r="I33" s="6">
        <f t="shared" si="1"/>
        <v>99</v>
      </c>
      <c r="J33" s="6" t="str">
        <f t="shared" si="2"/>
        <v>April</v>
      </c>
      <c r="K33" s="14">
        <f t="shared" ca="1" si="3"/>
        <v>895</v>
      </c>
      <c r="L33">
        <f t="shared" si="4"/>
        <v>99</v>
      </c>
      <c r="M33">
        <f t="shared" si="6"/>
        <v>99</v>
      </c>
      <c r="N33" t="str">
        <v>John</v>
      </c>
    </row>
    <row r="34" spans="1:14" x14ac:dyDescent="0.3">
      <c r="A34" s="5" t="s">
        <v>197</v>
      </c>
      <c r="B34" s="9">
        <v>45369</v>
      </c>
      <c r="C34" s="5" t="s">
        <v>132</v>
      </c>
      <c r="D34" s="5" t="s">
        <v>185</v>
      </c>
      <c r="E34" s="5">
        <v>5</v>
      </c>
      <c r="F34" s="5" t="s">
        <v>57</v>
      </c>
      <c r="G34" t="str">
        <f t="shared" si="0"/>
        <v>Electronics</v>
      </c>
      <c r="H34" s="6">
        <f t="shared" si="5"/>
        <v>799</v>
      </c>
      <c r="I34" s="6">
        <f t="shared" si="1"/>
        <v>3995</v>
      </c>
      <c r="J34" s="6" t="str">
        <f t="shared" si="2"/>
        <v>March</v>
      </c>
      <c r="K34" s="14">
        <f t="shared" ca="1" si="3"/>
        <v>919</v>
      </c>
      <c r="L34">
        <f t="shared" si="4"/>
        <v>799</v>
      </c>
      <c r="M34">
        <f t="shared" si="6"/>
        <v>799</v>
      </c>
      <c r="N34" t="str">
        <v>Sara</v>
      </c>
    </row>
    <row r="35" spans="1:14" x14ac:dyDescent="0.3">
      <c r="A35" s="5" t="s">
        <v>198</v>
      </c>
      <c r="B35" s="9">
        <v>45344</v>
      </c>
      <c r="C35" s="5" t="s">
        <v>147</v>
      </c>
      <c r="D35" s="5" t="s">
        <v>180</v>
      </c>
      <c r="E35" s="5">
        <v>8</v>
      </c>
      <c r="F35" s="5" t="s">
        <v>37</v>
      </c>
      <c r="G35" t="str">
        <f t="shared" si="0"/>
        <v>Furniture</v>
      </c>
      <c r="H35" s="6">
        <f t="shared" si="5"/>
        <v>6999</v>
      </c>
      <c r="I35" s="6">
        <f t="shared" si="1"/>
        <v>55992</v>
      </c>
      <c r="J35" s="6" t="str">
        <f t="shared" si="2"/>
        <v>February</v>
      </c>
      <c r="K35" s="14">
        <f t="shared" ca="1" si="3"/>
        <v>944</v>
      </c>
      <c r="L35">
        <f t="shared" si="4"/>
        <v>6999</v>
      </c>
      <c r="M35">
        <f t="shared" si="6"/>
        <v>6999</v>
      </c>
      <c r="N35" t="str">
        <v>Amit</v>
      </c>
    </row>
    <row r="36" spans="1:14" x14ac:dyDescent="0.3">
      <c r="A36" s="5" t="s">
        <v>199</v>
      </c>
      <c r="B36" s="9">
        <v>45487</v>
      </c>
      <c r="C36" s="5" t="s">
        <v>142</v>
      </c>
      <c r="D36" s="5" t="s">
        <v>167</v>
      </c>
      <c r="E36" s="5">
        <v>1</v>
      </c>
      <c r="F36" s="5" t="s">
        <v>44</v>
      </c>
      <c r="G36" t="str">
        <f t="shared" si="0"/>
        <v>Stationery</v>
      </c>
      <c r="H36" s="6">
        <f t="shared" si="5"/>
        <v>149</v>
      </c>
      <c r="I36" s="6">
        <f t="shared" si="1"/>
        <v>149</v>
      </c>
      <c r="J36" s="6" t="str">
        <f t="shared" si="2"/>
        <v>July</v>
      </c>
      <c r="K36" s="14">
        <f t="shared" ca="1" si="3"/>
        <v>801</v>
      </c>
      <c r="L36">
        <f t="shared" si="4"/>
        <v>149</v>
      </c>
      <c r="M36">
        <f t="shared" si="6"/>
        <v>149</v>
      </c>
    </row>
    <row r="37" spans="1:14" x14ac:dyDescent="0.3">
      <c r="A37" s="5" t="s">
        <v>200</v>
      </c>
      <c r="B37" s="9">
        <v>45424</v>
      </c>
      <c r="C37" s="5" t="s">
        <v>144</v>
      </c>
      <c r="D37" s="5" t="s">
        <v>201</v>
      </c>
      <c r="E37" s="5">
        <v>1</v>
      </c>
      <c r="F37" s="5" t="s">
        <v>57</v>
      </c>
      <c r="G37" t="str">
        <f t="shared" si="0"/>
        <v>Furniture</v>
      </c>
      <c r="H37" s="6">
        <f t="shared" si="5"/>
        <v>1899</v>
      </c>
      <c r="I37" s="6">
        <f t="shared" si="1"/>
        <v>1899</v>
      </c>
      <c r="J37" s="6" t="str">
        <f t="shared" si="2"/>
        <v>May</v>
      </c>
      <c r="K37" s="14">
        <f t="shared" ca="1" si="3"/>
        <v>864</v>
      </c>
      <c r="L37">
        <f t="shared" si="4"/>
        <v>1899</v>
      </c>
      <c r="M37">
        <f t="shared" si="6"/>
        <v>1899</v>
      </c>
    </row>
    <row r="38" spans="1:14" x14ac:dyDescent="0.3">
      <c r="A38" s="5" t="s">
        <v>202</v>
      </c>
      <c r="B38" s="9">
        <v>45343</v>
      </c>
      <c r="C38" s="5" t="s">
        <v>152</v>
      </c>
      <c r="D38" s="5" t="s">
        <v>195</v>
      </c>
      <c r="E38" s="5">
        <v>1</v>
      </c>
      <c r="F38" s="5" t="s">
        <v>44</v>
      </c>
      <c r="G38" t="str">
        <f t="shared" si="0"/>
        <v>Lifestyle</v>
      </c>
      <c r="H38" s="6">
        <f t="shared" si="5"/>
        <v>2199</v>
      </c>
      <c r="I38" s="6">
        <f t="shared" si="1"/>
        <v>2199</v>
      </c>
      <c r="J38" s="6" t="str">
        <f t="shared" si="2"/>
        <v>February</v>
      </c>
      <c r="K38" s="14">
        <f t="shared" ca="1" si="3"/>
        <v>945</v>
      </c>
      <c r="L38">
        <f t="shared" si="4"/>
        <v>2199</v>
      </c>
      <c r="M38">
        <f t="shared" si="6"/>
        <v>2199</v>
      </c>
    </row>
    <row r="39" spans="1:14" x14ac:dyDescent="0.3">
      <c r="A39" s="5" t="s">
        <v>203</v>
      </c>
      <c r="B39" s="9">
        <v>45399</v>
      </c>
      <c r="C39" s="5" t="s">
        <v>135</v>
      </c>
      <c r="D39" s="5" t="s">
        <v>204</v>
      </c>
      <c r="E39" s="5">
        <v>2</v>
      </c>
      <c r="F39" s="5" t="s">
        <v>37</v>
      </c>
      <c r="G39" t="str">
        <f t="shared" si="0"/>
        <v>Electronics</v>
      </c>
      <c r="H39" s="6">
        <f t="shared" si="5"/>
        <v>2499</v>
      </c>
      <c r="I39" s="6">
        <f t="shared" si="1"/>
        <v>4998</v>
      </c>
      <c r="J39" s="6" t="str">
        <f t="shared" si="2"/>
        <v>April</v>
      </c>
      <c r="K39" s="14">
        <f t="shared" ca="1" si="3"/>
        <v>889</v>
      </c>
      <c r="L39">
        <f t="shared" si="4"/>
        <v>2499</v>
      </c>
      <c r="M39">
        <f t="shared" si="6"/>
        <v>2499</v>
      </c>
    </row>
    <row r="40" spans="1:14" x14ac:dyDescent="0.3">
      <c r="A40" s="5" t="s">
        <v>205</v>
      </c>
      <c r="B40" s="9">
        <v>45454</v>
      </c>
      <c r="C40" s="5" t="s">
        <v>135</v>
      </c>
      <c r="D40" s="5" t="s">
        <v>204</v>
      </c>
      <c r="E40" s="5">
        <v>4</v>
      </c>
      <c r="F40" s="5" t="s">
        <v>44</v>
      </c>
      <c r="G40" t="str">
        <f t="shared" si="0"/>
        <v>Electronics</v>
      </c>
      <c r="H40" s="6">
        <f t="shared" si="5"/>
        <v>2499</v>
      </c>
      <c r="I40" s="6">
        <f t="shared" si="1"/>
        <v>9996</v>
      </c>
      <c r="J40" s="6" t="str">
        <f t="shared" si="2"/>
        <v>June</v>
      </c>
      <c r="K40" s="14">
        <f t="shared" ca="1" si="3"/>
        <v>834</v>
      </c>
      <c r="L40">
        <f t="shared" si="4"/>
        <v>2499</v>
      </c>
      <c r="M40">
        <f t="shared" si="6"/>
        <v>2499</v>
      </c>
    </row>
    <row r="41" spans="1:14" x14ac:dyDescent="0.3">
      <c r="A41" s="5" t="s">
        <v>206</v>
      </c>
      <c r="B41" s="9">
        <v>45348</v>
      </c>
      <c r="C41" s="5" t="s">
        <v>135</v>
      </c>
      <c r="D41" s="5" t="s">
        <v>185</v>
      </c>
      <c r="E41" s="5">
        <v>6</v>
      </c>
      <c r="F41" s="5" t="s">
        <v>76</v>
      </c>
      <c r="G41" t="str">
        <f t="shared" si="0"/>
        <v>Electronics</v>
      </c>
      <c r="H41" s="6">
        <f t="shared" si="5"/>
        <v>2499</v>
      </c>
      <c r="I41" s="6">
        <f t="shared" si="1"/>
        <v>14994</v>
      </c>
      <c r="J41" s="6" t="str">
        <f t="shared" si="2"/>
        <v>February</v>
      </c>
      <c r="K41" s="14">
        <f t="shared" ca="1" si="3"/>
        <v>940</v>
      </c>
      <c r="L41">
        <f t="shared" si="4"/>
        <v>2499</v>
      </c>
      <c r="M41">
        <f t="shared" si="6"/>
        <v>2499</v>
      </c>
    </row>
    <row r="42" spans="1:14" x14ac:dyDescent="0.3">
      <c r="A42" s="5" t="s">
        <v>207</v>
      </c>
      <c r="B42" s="9">
        <v>45329</v>
      </c>
      <c r="C42" s="5" t="s">
        <v>144</v>
      </c>
      <c r="D42" s="5" t="s">
        <v>167</v>
      </c>
      <c r="E42" s="5">
        <v>5</v>
      </c>
      <c r="F42" s="5" t="s">
        <v>57</v>
      </c>
      <c r="G42" t="str">
        <f t="shared" si="0"/>
        <v>Furniture</v>
      </c>
      <c r="H42" s="6">
        <f t="shared" si="5"/>
        <v>1899</v>
      </c>
      <c r="I42" s="6">
        <f t="shared" si="1"/>
        <v>9495</v>
      </c>
      <c r="J42" s="6" t="str">
        <f t="shared" si="2"/>
        <v>February</v>
      </c>
      <c r="K42" s="14">
        <f t="shared" ca="1" si="3"/>
        <v>959</v>
      </c>
      <c r="L42">
        <f t="shared" si="4"/>
        <v>1899</v>
      </c>
      <c r="M42">
        <f t="shared" si="6"/>
        <v>1899</v>
      </c>
    </row>
    <row r="43" spans="1:14" x14ac:dyDescent="0.3">
      <c r="A43" s="5" t="s">
        <v>208</v>
      </c>
      <c r="B43" s="9">
        <v>45298</v>
      </c>
      <c r="C43" s="5" t="s">
        <v>142</v>
      </c>
      <c r="D43" s="5" t="s">
        <v>170</v>
      </c>
      <c r="E43" s="5">
        <v>6</v>
      </c>
      <c r="F43" s="5" t="s">
        <v>44</v>
      </c>
      <c r="G43" t="str">
        <f t="shared" si="0"/>
        <v>Stationery</v>
      </c>
      <c r="H43" s="6">
        <f t="shared" si="5"/>
        <v>149</v>
      </c>
      <c r="I43" s="6">
        <f t="shared" si="1"/>
        <v>894</v>
      </c>
      <c r="J43" s="6" t="str">
        <f t="shared" si="2"/>
        <v>January</v>
      </c>
      <c r="K43" s="14">
        <f t="shared" ca="1" si="3"/>
        <v>990</v>
      </c>
      <c r="L43">
        <f t="shared" si="4"/>
        <v>149</v>
      </c>
      <c r="M43">
        <f t="shared" si="6"/>
        <v>149</v>
      </c>
    </row>
    <row r="44" spans="1:14" x14ac:dyDescent="0.3">
      <c r="A44" s="5" t="s">
        <v>209</v>
      </c>
      <c r="B44" s="9">
        <v>45433</v>
      </c>
      <c r="C44" s="5" t="s">
        <v>149</v>
      </c>
      <c r="D44" s="5" t="s">
        <v>204</v>
      </c>
      <c r="E44" s="5">
        <v>2</v>
      </c>
      <c r="F44" s="5" t="s">
        <v>44</v>
      </c>
      <c r="G44" t="str">
        <f t="shared" si="0"/>
        <v>Lifestyle</v>
      </c>
      <c r="H44" s="6">
        <f t="shared" si="5"/>
        <v>349</v>
      </c>
      <c r="I44" s="6">
        <f t="shared" si="1"/>
        <v>698</v>
      </c>
      <c r="J44" s="6" t="str">
        <f t="shared" si="2"/>
        <v>May</v>
      </c>
      <c r="K44" s="14">
        <f t="shared" ca="1" si="3"/>
        <v>855</v>
      </c>
      <c r="L44">
        <f t="shared" si="4"/>
        <v>349</v>
      </c>
      <c r="M44">
        <f t="shared" si="6"/>
        <v>349</v>
      </c>
    </row>
    <row r="45" spans="1:14" x14ac:dyDescent="0.3">
      <c r="A45" s="5" t="s">
        <v>210</v>
      </c>
      <c r="B45" s="9">
        <v>45385</v>
      </c>
      <c r="C45" s="5" t="s">
        <v>139</v>
      </c>
      <c r="D45" s="5" t="s">
        <v>180</v>
      </c>
      <c r="E45" s="5">
        <v>5</v>
      </c>
      <c r="F45" s="5" t="s">
        <v>37</v>
      </c>
      <c r="G45" t="str">
        <f t="shared" si="0"/>
        <v>Stationery</v>
      </c>
      <c r="H45" s="6">
        <f t="shared" si="5"/>
        <v>99</v>
      </c>
      <c r="I45" s="6">
        <f t="shared" si="1"/>
        <v>495</v>
      </c>
      <c r="J45" s="6" t="str">
        <f t="shared" si="2"/>
        <v>April</v>
      </c>
      <c r="K45" s="14">
        <f t="shared" ca="1" si="3"/>
        <v>903</v>
      </c>
      <c r="L45">
        <f t="shared" si="4"/>
        <v>99</v>
      </c>
      <c r="M45">
        <f t="shared" si="6"/>
        <v>99</v>
      </c>
    </row>
    <row r="46" spans="1:14" x14ac:dyDescent="0.3">
      <c r="A46" s="5" t="s">
        <v>211</v>
      </c>
      <c r="B46" s="9">
        <v>45336</v>
      </c>
      <c r="C46" s="5" t="s">
        <v>135</v>
      </c>
      <c r="D46" s="5" t="s">
        <v>167</v>
      </c>
      <c r="E46" s="5">
        <v>6</v>
      </c>
      <c r="F46" s="5" t="s">
        <v>76</v>
      </c>
      <c r="G46" t="str">
        <f t="shared" si="0"/>
        <v>Electronics</v>
      </c>
      <c r="H46" s="6">
        <f t="shared" si="5"/>
        <v>2499</v>
      </c>
      <c r="I46" s="6">
        <f t="shared" si="1"/>
        <v>14994</v>
      </c>
      <c r="J46" s="6" t="str">
        <f t="shared" si="2"/>
        <v>February</v>
      </c>
      <c r="K46" s="14">
        <f t="shared" ca="1" si="3"/>
        <v>952</v>
      </c>
      <c r="L46">
        <f t="shared" si="4"/>
        <v>2499</v>
      </c>
      <c r="M46">
        <f t="shared" si="6"/>
        <v>2499</v>
      </c>
    </row>
    <row r="47" spans="1:14" x14ac:dyDescent="0.3">
      <c r="A47" s="5" t="s">
        <v>212</v>
      </c>
      <c r="B47" s="9">
        <v>45466</v>
      </c>
      <c r="C47" s="5" t="s">
        <v>149</v>
      </c>
      <c r="D47" s="5" t="s">
        <v>180</v>
      </c>
      <c r="E47" s="5">
        <v>5</v>
      </c>
      <c r="F47" s="5" t="s">
        <v>44</v>
      </c>
      <c r="G47" t="str">
        <f t="shared" si="0"/>
        <v>Lifestyle</v>
      </c>
      <c r="H47" s="6">
        <f t="shared" si="5"/>
        <v>349</v>
      </c>
      <c r="I47" s="6">
        <f t="shared" si="1"/>
        <v>1745</v>
      </c>
      <c r="J47" s="6" t="str">
        <f t="shared" si="2"/>
        <v>June</v>
      </c>
      <c r="K47" s="14">
        <f t="shared" ca="1" si="3"/>
        <v>822</v>
      </c>
      <c r="L47">
        <f t="shared" si="4"/>
        <v>349</v>
      </c>
      <c r="M47">
        <f t="shared" si="6"/>
        <v>349</v>
      </c>
    </row>
    <row r="50" spans="1:3" x14ac:dyDescent="0.3">
      <c r="A50" s="8" t="s">
        <v>213</v>
      </c>
      <c r="C50" s="6">
        <f>SUMIF(F18:F47,"North",E18:E47)</f>
        <v>48</v>
      </c>
    </row>
    <row r="51" spans="1:3" x14ac:dyDescent="0.3">
      <c r="A51" s="8" t="s">
        <v>214</v>
      </c>
      <c r="C51" s="6">
        <f>SUMIFS(E18:E47,F18:F47,"North",C18:C47,"p01")</f>
        <v>2</v>
      </c>
    </row>
    <row r="52" spans="1:3" x14ac:dyDescent="0.3">
      <c r="A52" s="8" t="s">
        <v>215</v>
      </c>
      <c r="C52" s="6">
        <f>COUNTIF(D18:D47,"amit")</f>
        <v>1</v>
      </c>
    </row>
    <row r="53" spans="1:3" x14ac:dyDescent="0.3">
      <c r="A53" s="8" t="s">
        <v>216</v>
      </c>
      <c r="C53" s="6">
        <f>COUNTIFS(D18:D47,"amit",F18:F47,"north")</f>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424CD-C50A-4BF5-BFFD-2D524331EF1E}">
  <dimension ref="A3:F9"/>
  <sheetViews>
    <sheetView tabSelected="1" workbookViewId="0">
      <selection activeCell="Q20" sqref="Q20"/>
    </sheetView>
  </sheetViews>
  <sheetFormatPr defaultRowHeight="14.4" x14ac:dyDescent="0.3"/>
  <cols>
    <col min="1" max="1" width="15.77734375" bestFit="1" customWidth="1"/>
    <col min="2" max="2" width="15.5546875" bestFit="1" customWidth="1"/>
    <col min="3" max="3" width="5.6640625" bestFit="1" customWidth="1"/>
    <col min="4" max="4" width="5.77734375" bestFit="1" customWidth="1"/>
    <col min="5" max="5" width="5.21875" bestFit="1" customWidth="1"/>
    <col min="6" max="6" width="10.77734375" bestFit="1" customWidth="1"/>
  </cols>
  <sheetData>
    <row r="3" spans="1:6" x14ac:dyDescent="0.3">
      <c r="A3" s="21" t="s">
        <v>347</v>
      </c>
      <c r="B3" s="21" t="s">
        <v>348</v>
      </c>
    </row>
    <row r="4" spans="1:6" x14ac:dyDescent="0.3">
      <c r="A4" s="21" t="s">
        <v>345</v>
      </c>
      <c r="B4" t="s">
        <v>76</v>
      </c>
      <c r="C4" t="s">
        <v>229</v>
      </c>
      <c r="D4" t="s">
        <v>232</v>
      </c>
      <c r="E4" t="s">
        <v>57</v>
      </c>
      <c r="F4" t="s">
        <v>346</v>
      </c>
    </row>
    <row r="5" spans="1:6" x14ac:dyDescent="0.3">
      <c r="A5" s="22" t="s">
        <v>134</v>
      </c>
      <c r="B5" s="23">
        <v>2</v>
      </c>
      <c r="C5" s="23">
        <v>3</v>
      </c>
      <c r="D5" s="23">
        <v>4</v>
      </c>
      <c r="E5" s="23">
        <v>6</v>
      </c>
      <c r="F5" s="23">
        <v>15</v>
      </c>
    </row>
    <row r="6" spans="1:6" x14ac:dyDescent="0.3">
      <c r="A6" s="22" t="s">
        <v>146</v>
      </c>
      <c r="B6" s="23">
        <v>6</v>
      </c>
      <c r="C6" s="23">
        <v>2</v>
      </c>
      <c r="D6" s="23">
        <v>3</v>
      </c>
      <c r="E6" s="23">
        <v>4</v>
      </c>
      <c r="F6" s="23">
        <v>15</v>
      </c>
    </row>
    <row r="7" spans="1:6" x14ac:dyDescent="0.3">
      <c r="A7" s="22" t="s">
        <v>151</v>
      </c>
      <c r="B7" s="23">
        <v>1</v>
      </c>
      <c r="C7" s="23">
        <v>2</v>
      </c>
      <c r="D7" s="23">
        <v>3</v>
      </c>
      <c r="E7" s="23">
        <v>4</v>
      </c>
      <c r="F7" s="23">
        <v>10</v>
      </c>
    </row>
    <row r="8" spans="1:6" x14ac:dyDescent="0.3">
      <c r="A8" s="22" t="s">
        <v>141</v>
      </c>
      <c r="B8" s="23">
        <v>3</v>
      </c>
      <c r="C8" s="23">
        <v>1</v>
      </c>
      <c r="D8" s="23">
        <v>4</v>
      </c>
      <c r="E8" s="23">
        <v>2</v>
      </c>
      <c r="F8" s="23">
        <v>10</v>
      </c>
    </row>
    <row r="9" spans="1:6" x14ac:dyDescent="0.3">
      <c r="A9" s="22" t="s">
        <v>346</v>
      </c>
      <c r="B9" s="23">
        <v>12</v>
      </c>
      <c r="C9" s="23">
        <v>8</v>
      </c>
      <c r="D9" s="23">
        <v>14</v>
      </c>
      <c r="E9" s="23">
        <v>16</v>
      </c>
      <c r="F9" s="23">
        <v>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54"/>
  <sheetViews>
    <sheetView topLeftCell="D1" zoomScale="109" zoomScaleNormal="89" workbookViewId="0">
      <pane ySplit="4" topLeftCell="A5" activePane="bottomLeft" state="frozen"/>
      <selection pane="bottomLeft" activeCell="A4" sqref="A4:G54"/>
    </sheetView>
  </sheetViews>
  <sheetFormatPr defaultRowHeight="14.4" x14ac:dyDescent="0.3"/>
  <cols>
    <col min="1" max="1" width="14" bestFit="1" customWidth="1"/>
    <col min="2" max="2" width="21.5546875" bestFit="1" customWidth="1"/>
    <col min="3" max="3" width="18.88671875" bestFit="1" customWidth="1"/>
    <col min="4" max="4" width="14.88671875" bestFit="1" customWidth="1"/>
    <col min="5" max="5" width="13" bestFit="1" customWidth="1"/>
    <col min="6" max="6" width="15.109375" bestFit="1" customWidth="1"/>
    <col min="7" max="7" width="13.5546875" bestFit="1" customWidth="1"/>
    <col min="9" max="9" width="80" customWidth="1"/>
    <col min="10" max="10" width="11.6640625" bestFit="1" customWidth="1"/>
  </cols>
  <sheetData>
    <row r="1" spans="1:9" ht="17.399999999999999" x14ac:dyDescent="0.3">
      <c r="A1" s="1" t="s">
        <v>217</v>
      </c>
    </row>
    <row r="2" spans="1:9" x14ac:dyDescent="0.3">
      <c r="A2" s="3" t="s">
        <v>218</v>
      </c>
    </row>
    <row r="4" spans="1:9" x14ac:dyDescent="0.3">
      <c r="A4" s="18" t="s">
        <v>219</v>
      </c>
      <c r="B4" s="19" t="s">
        <v>159</v>
      </c>
      <c r="C4" s="19" t="s">
        <v>220</v>
      </c>
      <c r="D4" s="19" t="s">
        <v>130</v>
      </c>
      <c r="E4" s="19" t="s">
        <v>21</v>
      </c>
      <c r="F4" s="19" t="s">
        <v>221</v>
      </c>
      <c r="G4" s="20" t="s">
        <v>222</v>
      </c>
      <c r="I4" s="2" t="s">
        <v>223</v>
      </c>
    </row>
    <row r="5" spans="1:9" ht="26.4" x14ac:dyDescent="0.3">
      <c r="A5" s="15" t="s">
        <v>224</v>
      </c>
      <c r="B5" t="s">
        <v>339</v>
      </c>
      <c r="C5" s="5" t="s">
        <v>155</v>
      </c>
      <c r="D5" s="5" t="s">
        <v>146</v>
      </c>
      <c r="E5" s="5" t="s">
        <v>76</v>
      </c>
      <c r="F5" s="9">
        <v>45363</v>
      </c>
      <c r="G5" s="16" t="s">
        <v>344</v>
      </c>
      <c r="I5" s="7" t="s">
        <v>225</v>
      </c>
    </row>
    <row r="6" spans="1:9" ht="39.6" x14ac:dyDescent="0.3">
      <c r="A6" s="15" t="s">
        <v>226</v>
      </c>
      <c r="B6" t="s">
        <v>340</v>
      </c>
      <c r="C6" s="5" t="s">
        <v>143</v>
      </c>
      <c r="D6" s="5" t="s">
        <v>141</v>
      </c>
      <c r="E6" s="5" t="s">
        <v>57</v>
      </c>
      <c r="F6" s="9">
        <v>45479</v>
      </c>
      <c r="G6" s="17">
        <v>2531.59</v>
      </c>
      <c r="I6" s="7" t="s">
        <v>227</v>
      </c>
    </row>
    <row r="7" spans="1:9" ht="27" customHeight="1" x14ac:dyDescent="0.3">
      <c r="A7" s="15" t="s">
        <v>228</v>
      </c>
      <c r="B7" t="s">
        <v>341</v>
      </c>
      <c r="C7" s="5" t="s">
        <v>155</v>
      </c>
      <c r="D7" s="5" t="s">
        <v>146</v>
      </c>
      <c r="E7" s="5" t="s">
        <v>229</v>
      </c>
      <c r="F7" s="9">
        <v>45309</v>
      </c>
      <c r="G7" s="17">
        <v>827.63</v>
      </c>
      <c r="I7" s="7" t="s">
        <v>230</v>
      </c>
    </row>
    <row r="8" spans="1:9" ht="26.4" x14ac:dyDescent="0.3">
      <c r="A8" s="15" t="s">
        <v>231</v>
      </c>
      <c r="B8" t="s">
        <v>342</v>
      </c>
      <c r="C8" s="5" t="s">
        <v>145</v>
      </c>
      <c r="D8" s="5" t="s">
        <v>146</v>
      </c>
      <c r="E8" s="5" t="s">
        <v>232</v>
      </c>
      <c r="F8" s="9">
        <v>45493</v>
      </c>
      <c r="G8" s="17">
        <v>1089.57</v>
      </c>
      <c r="I8" s="7" t="s">
        <v>233</v>
      </c>
    </row>
    <row r="9" spans="1:9" ht="26.4" x14ac:dyDescent="0.3">
      <c r="A9" s="15" t="s">
        <v>234</v>
      </c>
      <c r="B9" t="s">
        <v>235</v>
      </c>
      <c r="C9" s="5" t="s">
        <v>143</v>
      </c>
      <c r="D9" s="5" t="s">
        <v>141</v>
      </c>
      <c r="E9" s="5" t="s">
        <v>236</v>
      </c>
      <c r="F9" s="9">
        <v>45439</v>
      </c>
      <c r="G9" s="16" t="s">
        <v>344</v>
      </c>
      <c r="I9" s="7" t="s">
        <v>237</v>
      </c>
    </row>
    <row r="10" spans="1:9" ht="26.4" x14ac:dyDescent="0.3">
      <c r="A10" s="15" t="s">
        <v>238</v>
      </c>
      <c r="B10" t="s">
        <v>336</v>
      </c>
      <c r="C10" s="5" t="s">
        <v>140</v>
      </c>
      <c r="D10" s="5" t="s">
        <v>141</v>
      </c>
      <c r="E10" s="5" t="s">
        <v>76</v>
      </c>
      <c r="F10" s="9">
        <v>45406</v>
      </c>
      <c r="G10" s="17">
        <v>1066.6300000000001</v>
      </c>
      <c r="I10" s="7" t="s">
        <v>239</v>
      </c>
    </row>
    <row r="11" spans="1:9" ht="26.4" x14ac:dyDescent="0.3">
      <c r="A11" s="15" t="s">
        <v>240</v>
      </c>
      <c r="B11" t="s">
        <v>337</v>
      </c>
      <c r="C11" s="5" t="s">
        <v>136</v>
      </c>
      <c r="D11" s="5" t="s">
        <v>134</v>
      </c>
      <c r="E11" s="5" t="s">
        <v>57</v>
      </c>
      <c r="F11" s="9">
        <v>45466</v>
      </c>
      <c r="G11" s="17">
        <v>899</v>
      </c>
      <c r="I11" s="7" t="s">
        <v>241</v>
      </c>
    </row>
    <row r="12" spans="1:9" x14ac:dyDescent="0.3">
      <c r="A12" s="15" t="s">
        <v>242</v>
      </c>
      <c r="B12" t="s">
        <v>337</v>
      </c>
      <c r="C12" s="5" t="s">
        <v>150</v>
      </c>
      <c r="D12" s="5" t="s">
        <v>151</v>
      </c>
      <c r="E12" s="5" t="s">
        <v>76</v>
      </c>
      <c r="F12" s="9">
        <v>45341</v>
      </c>
      <c r="G12" s="16" t="s">
        <v>344</v>
      </c>
    </row>
    <row r="13" spans="1:9" x14ac:dyDescent="0.3">
      <c r="A13" s="15" t="s">
        <v>243</v>
      </c>
      <c r="B13" t="s">
        <v>337</v>
      </c>
      <c r="C13" s="5" t="s">
        <v>148</v>
      </c>
      <c r="D13" s="5" t="s">
        <v>146</v>
      </c>
      <c r="E13" s="5" t="s">
        <v>229</v>
      </c>
      <c r="F13" s="9">
        <v>45336</v>
      </c>
      <c r="G13" s="16" t="s">
        <v>344</v>
      </c>
    </row>
    <row r="14" spans="1:9" x14ac:dyDescent="0.3">
      <c r="A14" s="15" t="s">
        <v>244</v>
      </c>
      <c r="B14" t="s">
        <v>337</v>
      </c>
      <c r="C14" s="5" t="s">
        <v>136</v>
      </c>
      <c r="D14" s="5" t="s">
        <v>134</v>
      </c>
      <c r="E14" s="5" t="s">
        <v>57</v>
      </c>
      <c r="F14" s="9">
        <v>45413</v>
      </c>
      <c r="G14" s="17">
        <v>2577.6799999999998</v>
      </c>
    </row>
    <row r="15" spans="1:9" x14ac:dyDescent="0.3">
      <c r="A15" s="15" t="s">
        <v>245</v>
      </c>
      <c r="B15" t="s">
        <v>342</v>
      </c>
      <c r="C15" s="5" t="s">
        <v>140</v>
      </c>
      <c r="D15" s="5" t="s">
        <v>141</v>
      </c>
      <c r="E15" s="5" t="s">
        <v>57</v>
      </c>
      <c r="F15" s="9">
        <v>45398</v>
      </c>
      <c r="G15" s="17">
        <v>2432.1799999999998</v>
      </c>
    </row>
    <row r="16" spans="1:9" x14ac:dyDescent="0.3">
      <c r="A16" s="15" t="s">
        <v>246</v>
      </c>
      <c r="B16" t="s">
        <v>235</v>
      </c>
      <c r="C16" s="5" t="s">
        <v>148</v>
      </c>
      <c r="D16" s="5" t="s">
        <v>146</v>
      </c>
      <c r="E16" s="5" t="s">
        <v>236</v>
      </c>
      <c r="F16" s="9">
        <v>45469</v>
      </c>
      <c r="G16" s="17">
        <v>6871.82</v>
      </c>
    </row>
    <row r="17" spans="1:7" x14ac:dyDescent="0.3">
      <c r="A17" s="15" t="s">
        <v>247</v>
      </c>
      <c r="B17" t="s">
        <v>340</v>
      </c>
      <c r="C17" s="5" t="s">
        <v>133</v>
      </c>
      <c r="D17" s="5" t="s">
        <v>134</v>
      </c>
      <c r="E17" s="5" t="s">
        <v>76</v>
      </c>
      <c r="F17" s="9">
        <v>45444</v>
      </c>
      <c r="G17" s="17">
        <v>6745.23</v>
      </c>
    </row>
    <row r="18" spans="1:7" x14ac:dyDescent="0.3">
      <c r="A18" s="15" t="s">
        <v>248</v>
      </c>
      <c r="B18" t="s">
        <v>249</v>
      </c>
      <c r="C18" s="5" t="s">
        <v>138</v>
      </c>
      <c r="D18" s="5" t="s">
        <v>134</v>
      </c>
      <c r="E18" s="5" t="s">
        <v>232</v>
      </c>
      <c r="F18" s="9">
        <v>45482</v>
      </c>
      <c r="G18" s="17">
        <v>5547.71</v>
      </c>
    </row>
    <row r="19" spans="1:7" x14ac:dyDescent="0.3">
      <c r="A19" s="15" t="s">
        <v>250</v>
      </c>
      <c r="B19" t="s">
        <v>343</v>
      </c>
      <c r="C19" s="5" t="s">
        <v>136</v>
      </c>
      <c r="D19" s="5" t="s">
        <v>134</v>
      </c>
      <c r="E19" s="5" t="s">
        <v>57</v>
      </c>
      <c r="F19" s="9">
        <v>45361</v>
      </c>
      <c r="G19" s="17">
        <v>501.83</v>
      </c>
    </row>
    <row r="20" spans="1:7" x14ac:dyDescent="0.3">
      <c r="A20" s="15" t="s">
        <v>251</v>
      </c>
      <c r="B20" t="s">
        <v>249</v>
      </c>
      <c r="C20" s="5" t="s">
        <v>143</v>
      </c>
      <c r="D20" s="5" t="s">
        <v>141</v>
      </c>
      <c r="E20" s="5" t="s">
        <v>37</v>
      </c>
      <c r="F20" s="9">
        <v>45466</v>
      </c>
      <c r="G20" s="17">
        <v>6461.24</v>
      </c>
    </row>
    <row r="21" spans="1:7" x14ac:dyDescent="0.3">
      <c r="A21" s="15" t="s">
        <v>252</v>
      </c>
      <c r="B21" t="s">
        <v>340</v>
      </c>
      <c r="C21" s="5" t="s">
        <v>138</v>
      </c>
      <c r="D21" s="5" t="s">
        <v>134</v>
      </c>
      <c r="E21" s="5" t="s">
        <v>229</v>
      </c>
      <c r="F21" s="9">
        <v>45466</v>
      </c>
      <c r="G21" s="17">
        <v>2977.07</v>
      </c>
    </row>
    <row r="22" spans="1:7" x14ac:dyDescent="0.3">
      <c r="A22" s="15" t="s">
        <v>253</v>
      </c>
      <c r="B22" t="s">
        <v>338</v>
      </c>
      <c r="C22" s="5" t="s">
        <v>155</v>
      </c>
      <c r="D22" s="5" t="s">
        <v>146</v>
      </c>
      <c r="E22" s="5" t="s">
        <v>57</v>
      </c>
      <c r="F22" s="9">
        <v>45403</v>
      </c>
      <c r="G22" s="17">
        <v>4721.5200000000004</v>
      </c>
    </row>
    <row r="23" spans="1:7" x14ac:dyDescent="0.3">
      <c r="A23" s="15" t="s">
        <v>254</v>
      </c>
      <c r="B23" t="s">
        <v>249</v>
      </c>
      <c r="C23" s="5" t="s">
        <v>143</v>
      </c>
      <c r="D23" s="5" t="s">
        <v>141</v>
      </c>
      <c r="E23" s="5" t="s">
        <v>44</v>
      </c>
      <c r="F23" s="9">
        <v>45373</v>
      </c>
      <c r="G23" s="17">
        <v>2151.0100000000002</v>
      </c>
    </row>
    <row r="24" spans="1:7" x14ac:dyDescent="0.3">
      <c r="A24" s="15" t="s">
        <v>255</v>
      </c>
      <c r="B24" t="s">
        <v>341</v>
      </c>
      <c r="C24" s="5" t="s">
        <v>148</v>
      </c>
      <c r="D24" s="5" t="s">
        <v>146</v>
      </c>
      <c r="E24" s="5" t="s">
        <v>256</v>
      </c>
      <c r="F24" s="9">
        <v>45468</v>
      </c>
      <c r="G24" s="17">
        <v>1653.17</v>
      </c>
    </row>
    <row r="25" spans="1:7" x14ac:dyDescent="0.3">
      <c r="A25" s="15" t="s">
        <v>257</v>
      </c>
      <c r="B25" t="s">
        <v>340</v>
      </c>
      <c r="C25" s="5" t="s">
        <v>140</v>
      </c>
      <c r="D25" s="5" t="s">
        <v>141</v>
      </c>
      <c r="E25" s="5" t="s">
        <v>232</v>
      </c>
      <c r="F25" s="9">
        <v>45319</v>
      </c>
      <c r="G25" s="17">
        <v>5765.28</v>
      </c>
    </row>
    <row r="26" spans="1:7" x14ac:dyDescent="0.3">
      <c r="A26" s="15" t="s">
        <v>258</v>
      </c>
      <c r="B26" t="s">
        <v>337</v>
      </c>
      <c r="C26" s="5" t="s">
        <v>145</v>
      </c>
      <c r="D26" s="5" t="s">
        <v>146</v>
      </c>
      <c r="E26" s="5" t="s">
        <v>76</v>
      </c>
      <c r="F26" s="9">
        <v>45302</v>
      </c>
      <c r="G26" s="17">
        <v>514.25</v>
      </c>
    </row>
    <row r="27" spans="1:7" x14ac:dyDescent="0.3">
      <c r="A27" s="15" t="s">
        <v>259</v>
      </c>
      <c r="B27" t="s">
        <v>249</v>
      </c>
      <c r="C27" s="5" t="s">
        <v>136</v>
      </c>
      <c r="D27" s="5" t="s">
        <v>134</v>
      </c>
      <c r="E27" s="5" t="s">
        <v>57</v>
      </c>
      <c r="F27" s="9">
        <v>45479</v>
      </c>
      <c r="G27" s="17">
        <v>4935.21</v>
      </c>
    </row>
    <row r="28" spans="1:7" x14ac:dyDescent="0.3">
      <c r="A28" s="15" t="s">
        <v>260</v>
      </c>
      <c r="B28" t="s">
        <v>342</v>
      </c>
      <c r="C28" s="5" t="s">
        <v>140</v>
      </c>
      <c r="D28" s="5" t="s">
        <v>141</v>
      </c>
      <c r="E28" s="5" t="s">
        <v>37</v>
      </c>
      <c r="F28" s="9">
        <v>45495</v>
      </c>
      <c r="G28" s="17">
        <v>3090.99</v>
      </c>
    </row>
    <row r="29" spans="1:7" x14ac:dyDescent="0.3">
      <c r="A29" s="15" t="s">
        <v>261</v>
      </c>
      <c r="B29" t="s">
        <v>235</v>
      </c>
      <c r="C29" s="5" t="s">
        <v>150</v>
      </c>
      <c r="D29" s="5" t="s">
        <v>151</v>
      </c>
      <c r="E29" s="5" t="s">
        <v>57</v>
      </c>
      <c r="F29" s="9">
        <v>45327</v>
      </c>
      <c r="G29" s="17">
        <v>3303.94</v>
      </c>
    </row>
    <row r="30" spans="1:7" x14ac:dyDescent="0.3">
      <c r="A30" s="15" t="s">
        <v>262</v>
      </c>
      <c r="B30" t="s">
        <v>343</v>
      </c>
      <c r="C30" s="5" t="s">
        <v>148</v>
      </c>
      <c r="D30" s="5" t="s">
        <v>146</v>
      </c>
      <c r="E30" s="5" t="s">
        <v>236</v>
      </c>
      <c r="F30" s="9">
        <v>45436</v>
      </c>
      <c r="G30" s="17">
        <v>3232.21</v>
      </c>
    </row>
    <row r="31" spans="1:7" x14ac:dyDescent="0.3">
      <c r="A31" s="15" t="s">
        <v>263</v>
      </c>
      <c r="B31" t="s">
        <v>340</v>
      </c>
      <c r="C31" s="5" t="s">
        <v>153</v>
      </c>
      <c r="D31" s="5" t="s">
        <v>151</v>
      </c>
      <c r="E31" s="5" t="s">
        <v>57</v>
      </c>
      <c r="F31" s="9">
        <v>45459</v>
      </c>
      <c r="G31" s="17">
        <v>2085.7199999999998</v>
      </c>
    </row>
    <row r="32" spans="1:7" x14ac:dyDescent="0.3">
      <c r="A32" s="15" t="s">
        <v>264</v>
      </c>
      <c r="B32" t="s">
        <v>340</v>
      </c>
      <c r="C32" s="5" t="s">
        <v>150</v>
      </c>
      <c r="D32" s="5" t="s">
        <v>151</v>
      </c>
      <c r="E32" s="5" t="s">
        <v>256</v>
      </c>
      <c r="F32" s="9">
        <v>45315</v>
      </c>
      <c r="G32" s="17">
        <v>5052.1099999999997</v>
      </c>
    </row>
    <row r="33" spans="1:7" x14ac:dyDescent="0.3">
      <c r="A33" s="15" t="s">
        <v>265</v>
      </c>
      <c r="B33" t="s">
        <v>235</v>
      </c>
      <c r="C33" s="5" t="s">
        <v>148</v>
      </c>
      <c r="D33" s="5" t="s">
        <v>146</v>
      </c>
      <c r="E33" s="5" t="s">
        <v>37</v>
      </c>
      <c r="F33" s="9">
        <v>45331</v>
      </c>
      <c r="G33" s="17">
        <v>1225.6500000000001</v>
      </c>
    </row>
    <row r="34" spans="1:7" x14ac:dyDescent="0.3">
      <c r="A34" s="15" t="s">
        <v>266</v>
      </c>
      <c r="B34" t="s">
        <v>339</v>
      </c>
      <c r="C34" s="5" t="s">
        <v>140</v>
      </c>
      <c r="D34" s="5" t="s">
        <v>141</v>
      </c>
      <c r="E34" s="5" t="s">
        <v>236</v>
      </c>
      <c r="F34" s="9">
        <v>45400</v>
      </c>
      <c r="G34" s="17">
        <v>2449.9899999999998</v>
      </c>
    </row>
    <row r="35" spans="1:7" x14ac:dyDescent="0.3">
      <c r="A35" s="15" t="s">
        <v>267</v>
      </c>
      <c r="B35" t="s">
        <v>249</v>
      </c>
      <c r="C35" s="5" t="s">
        <v>133</v>
      </c>
      <c r="D35" s="5" t="s">
        <v>134</v>
      </c>
      <c r="E35" s="5" t="s">
        <v>236</v>
      </c>
      <c r="F35" s="9">
        <v>45493</v>
      </c>
      <c r="G35" s="17">
        <v>4171.74</v>
      </c>
    </row>
    <row r="36" spans="1:7" x14ac:dyDescent="0.3">
      <c r="A36" s="15" t="s">
        <v>268</v>
      </c>
      <c r="B36" t="s">
        <v>342</v>
      </c>
      <c r="C36" s="5" t="s">
        <v>153</v>
      </c>
      <c r="D36" s="5" t="s">
        <v>151</v>
      </c>
      <c r="E36" s="5" t="s">
        <v>232</v>
      </c>
      <c r="F36" s="9">
        <v>45372</v>
      </c>
      <c r="G36" s="17">
        <v>5323.63</v>
      </c>
    </row>
    <row r="37" spans="1:7" x14ac:dyDescent="0.3">
      <c r="A37" s="15" t="s">
        <v>269</v>
      </c>
      <c r="B37" t="s">
        <v>341</v>
      </c>
      <c r="C37" s="5" t="s">
        <v>150</v>
      </c>
      <c r="D37" s="5" t="s">
        <v>151</v>
      </c>
      <c r="E37" s="5" t="s">
        <v>57</v>
      </c>
      <c r="F37" s="9">
        <v>45365</v>
      </c>
      <c r="G37" s="16" t="s">
        <v>344</v>
      </c>
    </row>
    <row r="38" spans="1:7" x14ac:dyDescent="0.3">
      <c r="A38" s="15" t="s">
        <v>270</v>
      </c>
      <c r="B38" t="s">
        <v>249</v>
      </c>
      <c r="C38" s="5" t="s">
        <v>155</v>
      </c>
      <c r="D38" s="5" t="s">
        <v>146</v>
      </c>
      <c r="E38" s="5" t="s">
        <v>76</v>
      </c>
      <c r="F38" s="9">
        <v>45415</v>
      </c>
      <c r="G38" s="17">
        <v>6452.88</v>
      </c>
    </row>
    <row r="39" spans="1:7" x14ac:dyDescent="0.3">
      <c r="A39" s="15" t="s">
        <v>271</v>
      </c>
      <c r="B39" t="s">
        <v>343</v>
      </c>
      <c r="C39" s="5" t="s">
        <v>136</v>
      </c>
      <c r="D39" s="5" t="s">
        <v>134</v>
      </c>
      <c r="E39" s="5" t="s">
        <v>44</v>
      </c>
      <c r="F39" s="9">
        <v>45317</v>
      </c>
      <c r="G39" s="17">
        <v>4570.7</v>
      </c>
    </row>
    <row r="40" spans="1:7" x14ac:dyDescent="0.3">
      <c r="A40" s="15" t="s">
        <v>272</v>
      </c>
      <c r="B40" t="s">
        <v>342</v>
      </c>
      <c r="C40" s="5" t="s">
        <v>150</v>
      </c>
      <c r="D40" s="5" t="s">
        <v>151</v>
      </c>
      <c r="E40" s="5" t="s">
        <v>229</v>
      </c>
      <c r="F40" s="9">
        <v>45393</v>
      </c>
      <c r="G40" s="17">
        <v>2426</v>
      </c>
    </row>
    <row r="41" spans="1:7" x14ac:dyDescent="0.3">
      <c r="A41" s="15" t="s">
        <v>273</v>
      </c>
      <c r="B41" t="s">
        <v>340</v>
      </c>
      <c r="C41" s="5" t="s">
        <v>148</v>
      </c>
      <c r="D41" s="5" t="s">
        <v>146</v>
      </c>
      <c r="E41" s="5" t="s">
        <v>236</v>
      </c>
      <c r="F41" s="9">
        <v>45360</v>
      </c>
      <c r="G41" s="17">
        <v>5877.39</v>
      </c>
    </row>
    <row r="42" spans="1:7" x14ac:dyDescent="0.3">
      <c r="A42" s="15" t="s">
        <v>274</v>
      </c>
      <c r="B42" t="s">
        <v>337</v>
      </c>
      <c r="C42" s="5" t="s">
        <v>136</v>
      </c>
      <c r="D42" s="5" t="s">
        <v>134</v>
      </c>
      <c r="E42" s="5" t="s">
        <v>37</v>
      </c>
      <c r="F42" s="9">
        <v>45495</v>
      </c>
      <c r="G42" s="16" t="s">
        <v>344</v>
      </c>
    </row>
    <row r="43" spans="1:7" x14ac:dyDescent="0.3">
      <c r="A43" s="15" t="s">
        <v>275</v>
      </c>
      <c r="B43" t="s">
        <v>337</v>
      </c>
      <c r="C43" s="5" t="s">
        <v>133</v>
      </c>
      <c r="D43" s="5" t="s">
        <v>134</v>
      </c>
      <c r="E43" s="5" t="s">
        <v>44</v>
      </c>
      <c r="F43" s="9">
        <v>45455</v>
      </c>
      <c r="G43" s="17">
        <v>1236.2</v>
      </c>
    </row>
    <row r="44" spans="1:7" x14ac:dyDescent="0.3">
      <c r="A44" s="15" t="s">
        <v>276</v>
      </c>
      <c r="B44" t="s">
        <v>337</v>
      </c>
      <c r="C44" s="5" t="s">
        <v>138</v>
      </c>
      <c r="D44" s="5" t="s">
        <v>134</v>
      </c>
      <c r="E44" s="5" t="s">
        <v>256</v>
      </c>
      <c r="F44" s="9">
        <v>45475</v>
      </c>
      <c r="G44" s="17">
        <v>1942.46</v>
      </c>
    </row>
    <row r="45" spans="1:7" x14ac:dyDescent="0.3">
      <c r="A45" s="15" t="s">
        <v>277</v>
      </c>
      <c r="B45" t="s">
        <v>340</v>
      </c>
      <c r="C45" s="5" t="s">
        <v>133</v>
      </c>
      <c r="D45" s="5" t="s">
        <v>134</v>
      </c>
      <c r="E45" s="5" t="s">
        <v>37</v>
      </c>
      <c r="F45" s="9">
        <v>45444</v>
      </c>
      <c r="G45" s="17">
        <v>374.61</v>
      </c>
    </row>
    <row r="46" spans="1:7" x14ac:dyDescent="0.3">
      <c r="A46" s="15" t="s">
        <v>278</v>
      </c>
      <c r="B46" t="s">
        <v>337</v>
      </c>
      <c r="C46" s="5" t="s">
        <v>153</v>
      </c>
      <c r="D46" s="5" t="s">
        <v>151</v>
      </c>
      <c r="E46" s="5" t="s">
        <v>37</v>
      </c>
      <c r="F46" s="9">
        <v>45447</v>
      </c>
      <c r="G46" s="17">
        <v>4896.18</v>
      </c>
    </row>
    <row r="47" spans="1:7" x14ac:dyDescent="0.3">
      <c r="A47" s="15" t="s">
        <v>279</v>
      </c>
      <c r="B47" t="s">
        <v>340</v>
      </c>
      <c r="C47" s="5" t="s">
        <v>138</v>
      </c>
      <c r="D47" s="5" t="s">
        <v>134</v>
      </c>
      <c r="E47" s="5" t="s">
        <v>37</v>
      </c>
      <c r="F47" s="9">
        <v>45440</v>
      </c>
      <c r="G47" s="17">
        <v>5521.92</v>
      </c>
    </row>
    <row r="48" spans="1:7" x14ac:dyDescent="0.3">
      <c r="A48" s="15" t="s">
        <v>280</v>
      </c>
      <c r="B48" t="s">
        <v>339</v>
      </c>
      <c r="C48" s="5" t="s">
        <v>153</v>
      </c>
      <c r="D48" s="5" t="s">
        <v>151</v>
      </c>
      <c r="E48" s="5" t="s">
        <v>232</v>
      </c>
      <c r="F48" s="9">
        <v>45299</v>
      </c>
      <c r="G48" s="17">
        <v>5977.11</v>
      </c>
    </row>
    <row r="49" spans="1:7" x14ac:dyDescent="0.3">
      <c r="A49" s="15" t="s">
        <v>281</v>
      </c>
      <c r="B49" t="s">
        <v>336</v>
      </c>
      <c r="C49" s="5" t="s">
        <v>136</v>
      </c>
      <c r="D49" s="5" t="s">
        <v>134</v>
      </c>
      <c r="E49" s="5" t="s">
        <v>256</v>
      </c>
      <c r="F49" s="9">
        <v>45477</v>
      </c>
      <c r="G49" s="17">
        <v>1240.3399999999999</v>
      </c>
    </row>
    <row r="50" spans="1:7" x14ac:dyDescent="0.3">
      <c r="A50" s="15" t="s">
        <v>282</v>
      </c>
      <c r="B50" t="s">
        <v>235</v>
      </c>
      <c r="C50" s="5" t="s">
        <v>155</v>
      </c>
      <c r="D50" s="5" t="s">
        <v>146</v>
      </c>
      <c r="E50" s="5" t="s">
        <v>256</v>
      </c>
      <c r="F50" s="9">
        <v>45415</v>
      </c>
      <c r="G50" s="17">
        <v>3161.91</v>
      </c>
    </row>
    <row r="51" spans="1:7" x14ac:dyDescent="0.3">
      <c r="A51" s="15" t="s">
        <v>283</v>
      </c>
      <c r="B51" t="s">
        <v>337</v>
      </c>
      <c r="C51" s="5" t="s">
        <v>148</v>
      </c>
      <c r="D51" s="5" t="s">
        <v>146</v>
      </c>
      <c r="E51" s="5" t="s">
        <v>37</v>
      </c>
      <c r="F51" s="9">
        <v>45367</v>
      </c>
      <c r="G51" s="17">
        <v>6195.09</v>
      </c>
    </row>
    <row r="52" spans="1:7" x14ac:dyDescent="0.3">
      <c r="A52" s="15" t="s">
        <v>284</v>
      </c>
      <c r="B52" t="s">
        <v>336</v>
      </c>
      <c r="C52" s="5" t="s">
        <v>153</v>
      </c>
      <c r="D52" s="5" t="s">
        <v>151</v>
      </c>
      <c r="E52" s="5" t="s">
        <v>44</v>
      </c>
      <c r="F52" s="9">
        <v>45422</v>
      </c>
      <c r="G52" s="17">
        <v>5986.48</v>
      </c>
    </row>
    <row r="53" spans="1:7" x14ac:dyDescent="0.3">
      <c r="A53" s="15" t="s">
        <v>285</v>
      </c>
      <c r="B53" t="s">
        <v>340</v>
      </c>
      <c r="C53" s="5" t="s">
        <v>143</v>
      </c>
      <c r="D53" s="5" t="s">
        <v>141</v>
      </c>
      <c r="E53" s="5" t="s">
        <v>232</v>
      </c>
      <c r="F53" s="9">
        <v>45367</v>
      </c>
      <c r="G53" s="17">
        <v>6186.18</v>
      </c>
    </row>
    <row r="54" spans="1:7" x14ac:dyDescent="0.3">
      <c r="A54" s="15" t="s">
        <v>286</v>
      </c>
      <c r="B54" t="s">
        <v>342</v>
      </c>
      <c r="C54" s="5" t="s">
        <v>155</v>
      </c>
      <c r="D54" s="5" t="s">
        <v>146</v>
      </c>
      <c r="E54" s="5" t="s">
        <v>57</v>
      </c>
      <c r="F54" s="9">
        <v>45317</v>
      </c>
      <c r="G54" s="17">
        <v>1841.22</v>
      </c>
    </row>
  </sheetData>
  <conditionalFormatting sqref="A4:G54">
    <cfRule type="cellIs" dxfId="0" priority="2" operator="lessThan">
      <formula>500</formula>
    </cfRule>
    <cfRule type="colorScale" priority="1">
      <colorScale>
        <cfvo type="min"/>
        <cfvo type="percentile" val="50"/>
        <cfvo type="max"/>
        <color rgb="FFF8696B"/>
        <color rgb="FFFCFCFF"/>
        <color rgb="FF5A8AC6"/>
      </colorScale>
    </cfRule>
  </conditionalFormatting>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47"/>
  <sheetViews>
    <sheetView topLeftCell="A18" zoomScale="68" zoomScaleNormal="100" workbookViewId="0">
      <selection activeCell="N34" sqref="N34"/>
    </sheetView>
  </sheetViews>
  <sheetFormatPr defaultRowHeight="14.4" x14ac:dyDescent="0.3"/>
  <cols>
    <col min="1" max="1" width="100" customWidth="1"/>
  </cols>
  <sheetData>
    <row r="1" spans="1:1" ht="17.399999999999999" x14ac:dyDescent="0.3">
      <c r="A1" s="1" t="s">
        <v>287</v>
      </c>
    </row>
    <row r="3" spans="1:1" x14ac:dyDescent="0.3">
      <c r="A3" s="2" t="s">
        <v>288</v>
      </c>
    </row>
    <row r="4" spans="1:1" x14ac:dyDescent="0.3">
      <c r="A4" s="8" t="s">
        <v>289</v>
      </c>
    </row>
    <row r="5" spans="1:1" x14ac:dyDescent="0.3">
      <c r="A5" s="3" t="s">
        <v>290</v>
      </c>
    </row>
    <row r="6" spans="1:1" x14ac:dyDescent="0.3">
      <c r="A6" s="8" t="s">
        <v>291</v>
      </c>
    </row>
    <row r="7" spans="1:1" x14ac:dyDescent="0.3">
      <c r="A7" s="3" t="s">
        <v>292</v>
      </c>
    </row>
    <row r="8" spans="1:1" x14ac:dyDescent="0.3">
      <c r="A8" s="8" t="s">
        <v>293</v>
      </c>
    </row>
    <row r="9" spans="1:1" x14ac:dyDescent="0.3">
      <c r="A9" s="3" t="s">
        <v>294</v>
      </c>
    </row>
    <row r="10" spans="1:1" x14ac:dyDescent="0.3">
      <c r="A10" s="8" t="s">
        <v>295</v>
      </c>
    </row>
    <row r="11" spans="1:1" x14ac:dyDescent="0.3">
      <c r="A11" s="3" t="s">
        <v>296</v>
      </c>
    </row>
    <row r="12" spans="1:1" x14ac:dyDescent="0.3">
      <c r="A12" s="8" t="s">
        <v>297</v>
      </c>
    </row>
    <row r="13" spans="1:1" x14ac:dyDescent="0.3">
      <c r="A13" s="3" t="s">
        <v>298</v>
      </c>
    </row>
    <row r="14" spans="1:1" x14ac:dyDescent="0.3">
      <c r="A14" s="8" t="s">
        <v>299</v>
      </c>
    </row>
    <row r="15" spans="1:1" x14ac:dyDescent="0.3">
      <c r="A15" s="3" t="s">
        <v>300</v>
      </c>
    </row>
    <row r="17" spans="1:1" x14ac:dyDescent="0.3">
      <c r="A17" s="2" t="s">
        <v>301</v>
      </c>
    </row>
    <row r="18" spans="1:1" x14ac:dyDescent="0.3">
      <c r="A18" s="8" t="s">
        <v>302</v>
      </c>
    </row>
    <row r="19" spans="1:1" x14ac:dyDescent="0.3">
      <c r="A19" s="3" t="s">
        <v>303</v>
      </c>
    </row>
    <row r="20" spans="1:1" x14ac:dyDescent="0.3">
      <c r="A20" s="8" t="s">
        <v>304</v>
      </c>
    </row>
    <row r="21" spans="1:1" x14ac:dyDescent="0.3">
      <c r="A21" s="3" t="s">
        <v>305</v>
      </c>
    </row>
    <row r="22" spans="1:1" x14ac:dyDescent="0.3">
      <c r="A22" s="8" t="s">
        <v>306</v>
      </c>
    </row>
    <row r="23" spans="1:1" x14ac:dyDescent="0.3">
      <c r="A23" s="3" t="s">
        <v>307</v>
      </c>
    </row>
    <row r="24" spans="1:1" x14ac:dyDescent="0.3">
      <c r="A24" s="8" t="s">
        <v>308</v>
      </c>
    </row>
    <row r="25" spans="1:1" x14ac:dyDescent="0.3">
      <c r="A25" s="3" t="s">
        <v>309</v>
      </c>
    </row>
    <row r="26" spans="1:1" x14ac:dyDescent="0.3">
      <c r="A26" s="8" t="s">
        <v>310</v>
      </c>
    </row>
    <row r="27" spans="1:1" x14ac:dyDescent="0.3">
      <c r="A27" s="3" t="s">
        <v>311</v>
      </c>
    </row>
    <row r="28" spans="1:1" x14ac:dyDescent="0.3">
      <c r="A28" s="8" t="s">
        <v>312</v>
      </c>
    </row>
    <row r="29" spans="1:1" x14ac:dyDescent="0.3">
      <c r="A29" s="3" t="s">
        <v>313</v>
      </c>
    </row>
    <row r="30" spans="1:1" x14ac:dyDescent="0.3">
      <c r="A30" s="8" t="s">
        <v>314</v>
      </c>
    </row>
    <row r="31" spans="1:1" x14ac:dyDescent="0.3">
      <c r="A31" s="3" t="s">
        <v>315</v>
      </c>
    </row>
    <row r="32" spans="1:1" x14ac:dyDescent="0.3">
      <c r="A32" s="8" t="s">
        <v>316</v>
      </c>
    </row>
    <row r="33" spans="1:1" x14ac:dyDescent="0.3">
      <c r="A33" s="3" t="s">
        <v>317</v>
      </c>
    </row>
    <row r="35" spans="1:1" x14ac:dyDescent="0.3">
      <c r="A35" s="2" t="s">
        <v>318</v>
      </c>
    </row>
    <row r="36" spans="1:1" x14ac:dyDescent="0.3">
      <c r="A36" s="8" t="s">
        <v>319</v>
      </c>
    </row>
    <row r="37" spans="1:1" x14ac:dyDescent="0.3">
      <c r="A37" s="3" t="s">
        <v>320</v>
      </c>
    </row>
    <row r="38" spans="1:1" x14ac:dyDescent="0.3">
      <c r="A38" s="8" t="s">
        <v>321</v>
      </c>
    </row>
    <row r="39" spans="1:1" x14ac:dyDescent="0.3">
      <c r="A39" s="3" t="s">
        <v>322</v>
      </c>
    </row>
    <row r="40" spans="1:1" x14ac:dyDescent="0.3">
      <c r="A40" s="8" t="s">
        <v>323</v>
      </c>
    </row>
    <row r="41" spans="1:1" x14ac:dyDescent="0.3">
      <c r="A41" s="3" t="s">
        <v>324</v>
      </c>
    </row>
    <row r="42" spans="1:1" x14ac:dyDescent="0.3">
      <c r="A42" s="8" t="s">
        <v>325</v>
      </c>
    </row>
    <row r="43" spans="1:1" x14ac:dyDescent="0.3">
      <c r="A43" s="3" t="s">
        <v>326</v>
      </c>
    </row>
    <row r="44" spans="1:1" x14ac:dyDescent="0.3">
      <c r="A44" s="8" t="s">
        <v>327</v>
      </c>
    </row>
    <row r="45" spans="1:1" x14ac:dyDescent="0.3">
      <c r="A45" s="3" t="s">
        <v>328</v>
      </c>
    </row>
    <row r="46" spans="1:1" x14ac:dyDescent="0.3">
      <c r="A46" s="8" t="s">
        <v>329</v>
      </c>
    </row>
    <row r="47" spans="1:1" x14ac:dyDescent="0.3">
      <c r="A47" s="3" t="s">
        <v>330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 Me</vt:lpstr>
      <vt:lpstr>Week1_Basics</vt:lpstr>
      <vt:lpstr>Week2_Lookups</vt:lpstr>
      <vt:lpstr>Sheet1</vt:lpstr>
      <vt:lpstr>Week3_Analysis</vt:lpstr>
      <vt:lpstr>Answer_Key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Aniket Kumar</cp:lastModifiedBy>
  <dcterms:created xsi:type="dcterms:W3CDTF">2026-09-23T13:36:17Z</dcterms:created>
  <dcterms:modified xsi:type="dcterms:W3CDTF">2026-09-23T16:22:33Z</dcterms:modified>
</cp:coreProperties>
</file>