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b20a94b0655f61/Desktop/DA/"/>
    </mc:Choice>
  </mc:AlternateContent>
  <xr:revisionPtr revIDLastSave="50" documentId="8_{10714478-F3A0-4A69-9F91-1A09395BC6D1}" xr6:coauthVersionLast="47" xr6:coauthVersionMax="47" xr10:uidLastSave="{FA24AAFB-AA94-4E57-A966-48E56004F1EF}"/>
  <bookViews>
    <workbookView xWindow="-108" yWindow="-108" windowWidth="23256" windowHeight="12456" activeTab="1" xr2:uid="{45ECF9C6-BA8C-4DA0-B28A-B3E33ABEB938}"/>
  </bookViews>
  <sheets>
    <sheet name="Sheet1" sheetId="1" r:id="rId1"/>
    <sheet name="Sheet2" sheetId="2" r:id="rId2"/>
  </sheets>
  <definedNames>
    <definedName name="_xlnm._FilterDatabase" localSheetId="0" hidden="1">Sheet1!$G$23:$L$38</definedName>
    <definedName name="_xlnm._FilterDatabase" localSheetId="1" hidden="1">Sheet2!$F$4:$L$20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2" l="1" a="1"/>
  <c r="H24" i="2"/>
  <c r="H23" i="2" a="1"/>
  <c r="H23" i="2"/>
  <c r="C2" i="2"/>
  <c r="B9" i="2"/>
  <c r="B8" i="2"/>
  <c r="D7" i="2"/>
  <c r="C7" i="2"/>
  <c r="B7" i="2"/>
  <c r="N7" i="2" a="1"/>
  <c r="N7" i="2" s="1"/>
  <c r="B5" i="2"/>
  <c r="B4" i="2"/>
  <c r="B3" i="2"/>
  <c r="B2" i="2"/>
  <c r="B1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J10" i="1"/>
  <c r="J9" i="1"/>
  <c r="J8" i="1"/>
  <c r="E18" i="1"/>
  <c r="E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<sst xmlns="http://schemas.openxmlformats.org/spreadsheetml/2006/main" count="199" uniqueCount="32">
  <si>
    <t>Employee ID</t>
  </si>
  <si>
    <t>Employee</t>
  </si>
  <si>
    <t>Department</t>
  </si>
  <si>
    <t>Age</t>
  </si>
  <si>
    <t>Monthly Sales</t>
  </si>
  <si>
    <t>Attendance %</t>
  </si>
  <si>
    <t>Experience (Years)</t>
  </si>
  <si>
    <t>Amit</t>
  </si>
  <si>
    <t>Sales</t>
  </si>
  <si>
    <t>Priya</t>
  </si>
  <si>
    <t>HR</t>
  </si>
  <si>
    <t>Rahul</t>
  </si>
  <si>
    <t>IT</t>
  </si>
  <si>
    <t>Neha</t>
  </si>
  <si>
    <t>Vikram</t>
  </si>
  <si>
    <t>Sneha</t>
  </si>
  <si>
    <t>Karan</t>
  </si>
  <si>
    <t>Finance</t>
  </si>
  <si>
    <t>Pooja</t>
  </si>
  <si>
    <t>Rohit</t>
  </si>
  <si>
    <t>Arjun</t>
  </si>
  <si>
    <t>Meena</t>
  </si>
  <si>
    <t>Sonal</t>
  </si>
  <si>
    <t>Incentive</t>
  </si>
  <si>
    <t>difference form target</t>
  </si>
  <si>
    <t>special bonus</t>
  </si>
  <si>
    <t>performance bonus</t>
  </si>
  <si>
    <t>ELIGIBLITY</t>
  </si>
  <si>
    <t>user@pharmacy.com</t>
  </si>
  <si>
    <t>invoice-2024-4521</t>
  </si>
  <si>
    <t>Dr. Sameer Khan</t>
  </si>
  <si>
    <t>Batch#77291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</si>
</sst>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pharmac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598F-F9BA-498A-A41F-A75C0967C81E}">
  <sheetPr filterMode="1"/>
  <dimension ref="A1:S50"/>
  <sheetViews>
    <sheetView workbookViewId="0">
      <selection sqref="A1:G16"/>
    </sheetView>
  </sheetViews>
  <sheetFormatPr defaultRowHeight="14.4" x14ac:dyDescent="0.3"/>
  <cols>
    <col min="1" max="1" width="11.5546875" bestFit="1" customWidth="1"/>
    <col min="2" max="2" width="9.33203125" bestFit="1" customWidth="1"/>
    <col min="3" max="3" width="11.109375" bestFit="1" customWidth="1"/>
    <col min="5" max="5" width="12.88671875" bestFit="1" customWidth="1"/>
    <col min="6" max="6" width="12.6640625" bestFit="1" customWidth="1"/>
    <col min="7" max="7" width="16.44140625" bestFit="1" customWidth="1"/>
    <col min="8" max="8" width="17.77734375" bestFit="1" customWidth="1"/>
    <col min="9" max="9" width="9.88671875" bestFit="1" customWidth="1"/>
    <col min="10" max="10" width="8.88671875" customWidth="1"/>
    <col min="12" max="12" width="19.33203125" bestFit="1" customWidth="1"/>
    <col min="13" max="13" width="27" bestFit="1" customWidth="1"/>
    <col min="14" max="14" width="11.109375" bestFit="1" customWidth="1"/>
    <col min="15" max="15" width="12.88671875" bestFit="1" customWidth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26</v>
      </c>
      <c r="I1" s="3" t="s">
        <v>27</v>
      </c>
      <c r="K1" t="s">
        <v>23</v>
      </c>
      <c r="L1" t="s">
        <v>24</v>
      </c>
      <c r="M1" t="s">
        <v>25</v>
      </c>
      <c r="N1" s="1" t="s">
        <v>2</v>
      </c>
      <c r="O1" s="1" t="s">
        <v>4</v>
      </c>
    </row>
    <row r="2" spans="1:15" x14ac:dyDescent="0.3">
      <c r="A2" s="2">
        <v>1001</v>
      </c>
      <c r="B2" s="2" t="s">
        <v>7</v>
      </c>
      <c r="C2" s="2" t="s">
        <v>8</v>
      </c>
      <c r="D2" s="2">
        <v>24</v>
      </c>
      <c r="E2" s="2">
        <v>32000</v>
      </c>
      <c r="F2" s="2">
        <v>92</v>
      </c>
      <c r="G2" s="2">
        <v>1</v>
      </c>
      <c r="H2" t="str">
        <f>IF(AND(E2&gt;=40000,F2&gt;=85),"bonus","no bonus")</f>
        <v>no bonus</v>
      </c>
      <c r="I2" t="str">
        <f>IF(OR(E2&gt;=50000,G2&gt;=10),"eligible","not eligible")</f>
        <v>not eligible</v>
      </c>
      <c r="K2">
        <f>E2*10%</f>
        <v>3200</v>
      </c>
      <c r="L2">
        <f>E2-$F$21</f>
        <v>-8000</v>
      </c>
      <c r="M2" s="2" t="str">
        <f>IF(AND(E2&gt;=45000,F2&gt;=90),"special bonus","no special bonus")</f>
        <v>no special bonus</v>
      </c>
      <c r="N2" s="2" t="s">
        <v>17</v>
      </c>
      <c r="O2" s="2">
        <v>60000</v>
      </c>
    </row>
    <row r="3" spans="1:15" x14ac:dyDescent="0.3">
      <c r="A3" s="2">
        <v>1002</v>
      </c>
      <c r="B3" s="2" t="s">
        <v>9</v>
      </c>
      <c r="C3" s="2" t="s">
        <v>10</v>
      </c>
      <c r="D3" s="2">
        <v>29</v>
      </c>
      <c r="E3" s="2">
        <v>28000</v>
      </c>
      <c r="F3" s="2">
        <v>88</v>
      </c>
      <c r="G3" s="2">
        <v>4</v>
      </c>
      <c r="H3" t="str">
        <f t="shared" ref="H3:H17" si="0">IF(AND(E3&gt;=40000,F3&gt;=85),"bonus","no bonus")</f>
        <v>no bonus</v>
      </c>
      <c r="I3" t="str">
        <f t="shared" ref="I3:I17" si="1">IF(OR(E3&gt;=50000,G3&gt;=10),"eligible","not eligible")</f>
        <v>not eligible</v>
      </c>
      <c r="K3">
        <f t="shared" ref="K3:K16" si="2">E3*10%</f>
        <v>2800</v>
      </c>
      <c r="L3">
        <f t="shared" ref="L3:L16" si="3">E3-$F$21</f>
        <v>-12000</v>
      </c>
      <c r="M3" s="2" t="str">
        <f t="shared" ref="M3:M17" si="4">IF(AND(E3&gt;=45000,F3&gt;=90),"special bonus","no special bonus")</f>
        <v>no special bonus</v>
      </c>
      <c r="N3" s="2" t="s">
        <v>17</v>
      </c>
      <c r="O3" s="2">
        <v>60000</v>
      </c>
    </row>
    <row r="4" spans="1:15" x14ac:dyDescent="0.3">
      <c r="A4" s="2">
        <v>1003</v>
      </c>
      <c r="B4" s="2" t="s">
        <v>11</v>
      </c>
      <c r="C4" s="2" t="s">
        <v>12</v>
      </c>
      <c r="D4" s="2">
        <v>31</v>
      </c>
      <c r="E4" s="2">
        <v>45000</v>
      </c>
      <c r="F4" s="2">
        <v>95</v>
      </c>
      <c r="G4" s="2">
        <v>6</v>
      </c>
      <c r="H4" t="str">
        <f t="shared" si="0"/>
        <v>bonus</v>
      </c>
      <c r="I4" t="str">
        <f t="shared" si="1"/>
        <v>not eligible</v>
      </c>
      <c r="K4">
        <f t="shared" si="2"/>
        <v>4500</v>
      </c>
      <c r="L4">
        <f t="shared" si="3"/>
        <v>5000</v>
      </c>
      <c r="M4" s="2" t="str">
        <f t="shared" si="4"/>
        <v>special bonus</v>
      </c>
      <c r="N4" s="2" t="s">
        <v>17</v>
      </c>
      <c r="O4" s="2">
        <v>55000</v>
      </c>
    </row>
    <row r="5" spans="1:15" x14ac:dyDescent="0.3">
      <c r="A5" s="2">
        <v>1004</v>
      </c>
      <c r="B5" s="2" t="s">
        <v>13</v>
      </c>
      <c r="C5" s="2" t="s">
        <v>8</v>
      </c>
      <c r="D5" s="2">
        <v>26</v>
      </c>
      <c r="E5" s="2">
        <v>38000</v>
      </c>
      <c r="F5" s="2">
        <v>76</v>
      </c>
      <c r="G5" s="2">
        <v>2</v>
      </c>
      <c r="H5" t="str">
        <f t="shared" si="0"/>
        <v>no bonus</v>
      </c>
      <c r="I5" t="str">
        <f t="shared" si="1"/>
        <v>not eligible</v>
      </c>
      <c r="K5">
        <f t="shared" si="2"/>
        <v>3800</v>
      </c>
      <c r="L5">
        <f t="shared" si="3"/>
        <v>-2000</v>
      </c>
      <c r="M5" s="2" t="str">
        <f t="shared" si="4"/>
        <v>no special bonus</v>
      </c>
      <c r="N5" s="2" t="s">
        <v>10</v>
      </c>
      <c r="O5" s="2">
        <v>52000</v>
      </c>
    </row>
    <row r="6" spans="1:15" x14ac:dyDescent="0.3">
      <c r="A6" s="2">
        <v>1005</v>
      </c>
      <c r="B6" s="2" t="s">
        <v>14</v>
      </c>
      <c r="C6" s="2" t="s">
        <v>12</v>
      </c>
      <c r="D6" s="2">
        <v>35</v>
      </c>
      <c r="E6" s="2">
        <v>52000</v>
      </c>
      <c r="F6" s="2">
        <v>91</v>
      </c>
      <c r="G6" s="2">
        <v>10</v>
      </c>
      <c r="H6" t="str">
        <f t="shared" si="0"/>
        <v>bonus</v>
      </c>
      <c r="I6" t="str">
        <f t="shared" si="1"/>
        <v>eligible</v>
      </c>
      <c r="K6">
        <f t="shared" si="2"/>
        <v>5200</v>
      </c>
      <c r="L6">
        <f t="shared" si="3"/>
        <v>12000</v>
      </c>
      <c r="M6" s="2" t="str">
        <f t="shared" si="4"/>
        <v>special bonus</v>
      </c>
      <c r="N6" s="2" t="s">
        <v>10</v>
      </c>
      <c r="O6" s="2">
        <v>47000</v>
      </c>
    </row>
    <row r="7" spans="1:15" x14ac:dyDescent="0.3">
      <c r="A7" s="2">
        <v>1006</v>
      </c>
      <c r="B7" s="2" t="s">
        <v>15</v>
      </c>
      <c r="C7" s="2" t="s">
        <v>10</v>
      </c>
      <c r="D7" s="2">
        <v>28</v>
      </c>
      <c r="E7" s="2">
        <v>30000</v>
      </c>
      <c r="F7" s="2">
        <v>84</v>
      </c>
      <c r="G7" s="2">
        <v>3</v>
      </c>
      <c r="H7" t="str">
        <f t="shared" si="0"/>
        <v>no bonus</v>
      </c>
      <c r="I7" t="str">
        <f t="shared" si="1"/>
        <v>not eligible</v>
      </c>
      <c r="K7">
        <f t="shared" si="2"/>
        <v>3000</v>
      </c>
      <c r="L7">
        <f t="shared" si="3"/>
        <v>-10000</v>
      </c>
      <c r="M7" s="2" t="str">
        <f t="shared" si="4"/>
        <v>no special bonus</v>
      </c>
      <c r="N7" s="2" t="s">
        <v>10</v>
      </c>
      <c r="O7" s="2">
        <v>45000</v>
      </c>
    </row>
    <row r="8" spans="1:15" x14ac:dyDescent="0.3">
      <c r="A8" s="2">
        <v>1007</v>
      </c>
      <c r="B8" s="2" t="s">
        <v>7</v>
      </c>
      <c r="C8" s="2" t="s">
        <v>8</v>
      </c>
      <c r="D8" s="2">
        <v>24</v>
      </c>
      <c r="E8" s="2">
        <v>32000</v>
      </c>
      <c r="F8" s="2">
        <v>92</v>
      </c>
      <c r="G8" s="2">
        <v>1</v>
      </c>
      <c r="H8" t="str">
        <f t="shared" si="0"/>
        <v>no bonus</v>
      </c>
      <c r="I8" t="str">
        <f t="shared" si="1"/>
        <v>not eligible</v>
      </c>
      <c r="J8">
        <f>MIN(E2:E16)</f>
        <v>28000</v>
      </c>
      <c r="K8">
        <f t="shared" si="2"/>
        <v>3200</v>
      </c>
      <c r="L8">
        <f t="shared" si="3"/>
        <v>-8000</v>
      </c>
      <c r="M8" s="2" t="str">
        <f t="shared" si="4"/>
        <v>no special bonus</v>
      </c>
      <c r="N8" s="2" t="s">
        <v>12</v>
      </c>
      <c r="O8" s="2">
        <v>43000</v>
      </c>
    </row>
    <row r="9" spans="1:15" x14ac:dyDescent="0.3">
      <c r="A9" s="2">
        <v>1008</v>
      </c>
      <c r="B9" s="2" t="s">
        <v>16</v>
      </c>
      <c r="C9" s="2" t="s">
        <v>17</v>
      </c>
      <c r="D9" s="2">
        <v>40</v>
      </c>
      <c r="E9" s="2">
        <v>60000</v>
      </c>
      <c r="F9" s="2">
        <v>97</v>
      </c>
      <c r="G9" s="2">
        <v>15</v>
      </c>
      <c r="H9" t="str">
        <f t="shared" si="0"/>
        <v>bonus</v>
      </c>
      <c r="I9" t="str">
        <f t="shared" si="1"/>
        <v>eligible</v>
      </c>
      <c r="J9">
        <f>MAX(E2:E16)</f>
        <v>60000</v>
      </c>
      <c r="K9">
        <f t="shared" si="2"/>
        <v>6000</v>
      </c>
      <c r="L9">
        <f t="shared" si="3"/>
        <v>20000</v>
      </c>
      <c r="M9" s="2" t="str">
        <f t="shared" si="4"/>
        <v>special bonus</v>
      </c>
      <c r="N9" s="2" t="s">
        <v>12</v>
      </c>
      <c r="O9" s="2">
        <v>41000</v>
      </c>
    </row>
    <row r="10" spans="1:15" x14ac:dyDescent="0.3">
      <c r="A10" s="2">
        <v>1009</v>
      </c>
      <c r="B10" s="2" t="s">
        <v>18</v>
      </c>
      <c r="C10" s="2" t="s">
        <v>12</v>
      </c>
      <c r="D10" s="2">
        <v>27</v>
      </c>
      <c r="E10" s="2">
        <v>41000</v>
      </c>
      <c r="F10" s="2">
        <v>89</v>
      </c>
      <c r="G10" s="2">
        <v>4</v>
      </c>
      <c r="H10" t="str">
        <f t="shared" si="0"/>
        <v>bonus</v>
      </c>
      <c r="I10" t="str">
        <f t="shared" si="1"/>
        <v>not eligible</v>
      </c>
      <c r="J10">
        <f>COUNT(A2:A16)</f>
        <v>15</v>
      </c>
      <c r="K10">
        <f t="shared" si="2"/>
        <v>4100</v>
      </c>
      <c r="L10">
        <f t="shared" si="3"/>
        <v>1000</v>
      </c>
      <c r="M10" s="2" t="str">
        <f t="shared" si="4"/>
        <v>no special bonus</v>
      </c>
      <c r="N10" s="2" t="s">
        <v>12</v>
      </c>
      <c r="O10" s="2">
        <v>38000</v>
      </c>
    </row>
    <row r="11" spans="1:15" x14ac:dyDescent="0.3">
      <c r="A11" s="2">
        <v>1010</v>
      </c>
      <c r="B11" s="2" t="s">
        <v>19</v>
      </c>
      <c r="C11" s="2" t="s">
        <v>8</v>
      </c>
      <c r="D11" s="2">
        <v>33</v>
      </c>
      <c r="E11" s="2">
        <v>47000</v>
      </c>
      <c r="F11" s="2">
        <v>94</v>
      </c>
      <c r="G11" s="2">
        <v>8</v>
      </c>
      <c r="H11" t="str">
        <f t="shared" si="0"/>
        <v>bonus</v>
      </c>
      <c r="I11" t="str">
        <f t="shared" si="1"/>
        <v>not eligible</v>
      </c>
      <c r="K11">
        <f t="shared" si="2"/>
        <v>4700</v>
      </c>
      <c r="L11">
        <f t="shared" si="3"/>
        <v>7000</v>
      </c>
      <c r="M11" s="2" t="str">
        <f t="shared" si="4"/>
        <v>special bonus</v>
      </c>
      <c r="N11" s="2" t="s">
        <v>12</v>
      </c>
      <c r="O11" s="2">
        <v>36000</v>
      </c>
    </row>
    <row r="12" spans="1:15" x14ac:dyDescent="0.3">
      <c r="A12" s="2">
        <v>1011</v>
      </c>
      <c r="B12" s="2" t="s">
        <v>13</v>
      </c>
      <c r="C12" s="2" t="s">
        <v>10</v>
      </c>
      <c r="D12" s="2">
        <v>26</v>
      </c>
      <c r="E12" s="2">
        <v>28000</v>
      </c>
      <c r="F12" s="2">
        <v>76</v>
      </c>
      <c r="G12" s="2">
        <v>2</v>
      </c>
      <c r="H12" t="str">
        <f t="shared" si="0"/>
        <v>no bonus</v>
      </c>
      <c r="I12" t="str">
        <f t="shared" si="1"/>
        <v>not eligible</v>
      </c>
      <c r="K12">
        <f t="shared" si="2"/>
        <v>2800</v>
      </c>
      <c r="L12">
        <f t="shared" si="3"/>
        <v>-12000</v>
      </c>
      <c r="M12" s="2" t="str">
        <f t="shared" si="4"/>
        <v>no special bonus</v>
      </c>
      <c r="N12" s="2" t="s">
        <v>8</v>
      </c>
      <c r="O12" s="2">
        <v>32000</v>
      </c>
    </row>
    <row r="13" spans="1:15" x14ac:dyDescent="0.3">
      <c r="A13" s="2">
        <v>1012</v>
      </c>
      <c r="B13" s="2" t="s">
        <v>20</v>
      </c>
      <c r="C13" s="2" t="s">
        <v>17</v>
      </c>
      <c r="D13" s="2">
        <v>30</v>
      </c>
      <c r="E13" s="2">
        <v>55000</v>
      </c>
      <c r="F13" s="2">
        <v>96</v>
      </c>
      <c r="G13" s="2">
        <v>7</v>
      </c>
      <c r="H13" t="str">
        <f t="shared" si="0"/>
        <v>bonus</v>
      </c>
      <c r="I13" t="str">
        <f t="shared" si="1"/>
        <v>eligible</v>
      </c>
      <c r="K13">
        <f t="shared" si="2"/>
        <v>5500</v>
      </c>
      <c r="L13">
        <f t="shared" si="3"/>
        <v>15000</v>
      </c>
      <c r="M13" s="2" t="str">
        <f t="shared" si="4"/>
        <v>special bonus</v>
      </c>
      <c r="N13" s="2" t="s">
        <v>8</v>
      </c>
      <c r="O13" s="2">
        <v>32000</v>
      </c>
    </row>
    <row r="14" spans="1:15" x14ac:dyDescent="0.3">
      <c r="A14" s="2">
        <v>1013</v>
      </c>
      <c r="B14" s="2" t="s">
        <v>21</v>
      </c>
      <c r="C14" s="2" t="s">
        <v>12</v>
      </c>
      <c r="D14" s="2">
        <v>29</v>
      </c>
      <c r="E14" s="2">
        <v>43000</v>
      </c>
      <c r="F14" s="2">
        <v>90</v>
      </c>
      <c r="G14" s="2">
        <v>5</v>
      </c>
      <c r="H14" t="str">
        <f t="shared" si="0"/>
        <v>bonus</v>
      </c>
      <c r="I14" t="str">
        <f t="shared" si="1"/>
        <v>not eligible</v>
      </c>
      <c r="K14">
        <f t="shared" si="2"/>
        <v>4300</v>
      </c>
      <c r="L14">
        <f t="shared" si="3"/>
        <v>3000</v>
      </c>
      <c r="M14" s="2" t="str">
        <f t="shared" si="4"/>
        <v>no special bonus</v>
      </c>
      <c r="N14" s="2" t="s">
        <v>8</v>
      </c>
      <c r="O14" s="2">
        <v>30000</v>
      </c>
    </row>
    <row r="15" spans="1:15" x14ac:dyDescent="0.3">
      <c r="A15" s="2">
        <v>1014</v>
      </c>
      <c r="B15" s="2" t="s">
        <v>16</v>
      </c>
      <c r="C15" s="2" t="s">
        <v>17</v>
      </c>
      <c r="D15" s="2">
        <v>40</v>
      </c>
      <c r="E15" s="2">
        <v>60000</v>
      </c>
      <c r="F15" s="2">
        <v>97</v>
      </c>
      <c r="G15" s="2">
        <v>15</v>
      </c>
      <c r="H15" t="str">
        <f t="shared" si="0"/>
        <v>bonus</v>
      </c>
      <c r="I15" t="str">
        <f t="shared" si="1"/>
        <v>eligible</v>
      </c>
      <c r="K15">
        <f t="shared" si="2"/>
        <v>6000</v>
      </c>
      <c r="L15">
        <f t="shared" si="3"/>
        <v>20000</v>
      </c>
      <c r="M15" s="2" t="str">
        <f t="shared" si="4"/>
        <v>special bonus</v>
      </c>
      <c r="N15" s="2" t="s">
        <v>8</v>
      </c>
      <c r="O15" s="2">
        <v>28000</v>
      </c>
    </row>
    <row r="16" spans="1:15" x14ac:dyDescent="0.3">
      <c r="A16" s="2">
        <v>1015</v>
      </c>
      <c r="B16" s="2" t="s">
        <v>22</v>
      </c>
      <c r="C16" s="2" t="s">
        <v>8</v>
      </c>
      <c r="D16" s="2">
        <v>25</v>
      </c>
      <c r="E16" s="2">
        <v>36000</v>
      </c>
      <c r="F16" s="2">
        <v>82</v>
      </c>
      <c r="G16" s="2">
        <v>2</v>
      </c>
      <c r="H16" t="str">
        <f t="shared" si="0"/>
        <v>no bonus</v>
      </c>
      <c r="I16" t="str">
        <f t="shared" si="1"/>
        <v>not eligible</v>
      </c>
      <c r="K16">
        <f t="shared" si="2"/>
        <v>3600</v>
      </c>
      <c r="L16">
        <f t="shared" si="3"/>
        <v>-4000</v>
      </c>
      <c r="M16" s="2" t="str">
        <f t="shared" si="4"/>
        <v>no special bonus</v>
      </c>
      <c r="N16" s="2" t="s">
        <v>8</v>
      </c>
      <c r="O16" s="2">
        <v>28000</v>
      </c>
    </row>
    <row r="17" spans="1:19" x14ac:dyDescent="0.3">
      <c r="E17">
        <f>SUM(E2:E16)</f>
        <v>627000</v>
      </c>
      <c r="H17" t="str">
        <f t="shared" si="0"/>
        <v>no bonus</v>
      </c>
      <c r="I17" t="str">
        <f t="shared" si="1"/>
        <v>eligible</v>
      </c>
      <c r="M17" s="2" t="str">
        <f t="shared" si="4"/>
        <v>no special bonus</v>
      </c>
    </row>
    <row r="18" spans="1:19" x14ac:dyDescent="0.3">
      <c r="E18">
        <f>AVERAGE(E2:E16)</f>
        <v>41800</v>
      </c>
    </row>
    <row r="21" spans="1:19" x14ac:dyDescent="0.3">
      <c r="F21">
        <v>40000</v>
      </c>
    </row>
    <row r="22" spans="1:19" ht="15" thickBot="1" x14ac:dyDescent="0.35"/>
    <row r="23" spans="1:19" ht="15" thickBot="1" x14ac:dyDescent="0.3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G23" s="1" t="s">
        <v>0</v>
      </c>
      <c r="H23" s="1" t="s">
        <v>1</v>
      </c>
      <c r="I23" s="1" t="s">
        <v>2</v>
      </c>
      <c r="J23" s="1" t="s">
        <v>3</v>
      </c>
      <c r="K23" s="1" t="s">
        <v>4</v>
      </c>
      <c r="L23" s="1" t="s">
        <v>5</v>
      </c>
      <c r="N23" s="2" t="s">
        <v>7</v>
      </c>
      <c r="O23" s="2" t="s">
        <v>8</v>
      </c>
      <c r="P23" s="2">
        <v>24</v>
      </c>
      <c r="Q23" s="2">
        <v>32000</v>
      </c>
      <c r="R23" s="2">
        <v>92</v>
      </c>
      <c r="S23" s="2"/>
    </row>
    <row r="24" spans="1:19" hidden="1" x14ac:dyDescent="0.3">
      <c r="A24" s="2">
        <v>1008</v>
      </c>
      <c r="B24" s="2" t="s">
        <v>16</v>
      </c>
      <c r="C24" s="2" t="s">
        <v>17</v>
      </c>
      <c r="D24" s="2">
        <v>40</v>
      </c>
      <c r="E24" s="2">
        <v>60000</v>
      </c>
      <c r="G24" s="2">
        <v>1001</v>
      </c>
      <c r="H24" s="2" t="s">
        <v>7</v>
      </c>
      <c r="I24" s="2" t="s">
        <v>8</v>
      </c>
      <c r="J24" s="2">
        <v>24</v>
      </c>
      <c r="K24" s="2">
        <v>32000</v>
      </c>
      <c r="L24" s="2">
        <v>92</v>
      </c>
      <c r="N24" s="2" t="s">
        <v>9</v>
      </c>
      <c r="O24" s="2" t="s">
        <v>10</v>
      </c>
      <c r="P24" s="2">
        <v>29</v>
      </c>
      <c r="Q24" s="2">
        <v>28000</v>
      </c>
      <c r="R24" s="2">
        <v>88</v>
      </c>
      <c r="S24" s="2">
        <v>4</v>
      </c>
    </row>
    <row r="25" spans="1:19" hidden="1" x14ac:dyDescent="0.3">
      <c r="A25" s="2">
        <v>1014</v>
      </c>
      <c r="B25" s="2" t="s">
        <v>16</v>
      </c>
      <c r="C25" s="2" t="s">
        <v>17</v>
      </c>
      <c r="D25" s="2">
        <v>40</v>
      </c>
      <c r="E25" s="2">
        <v>60000</v>
      </c>
      <c r="G25" s="2">
        <v>1002</v>
      </c>
      <c r="H25" s="2" t="s">
        <v>9</v>
      </c>
      <c r="I25" s="2" t="s">
        <v>10</v>
      </c>
      <c r="J25" s="2">
        <v>29</v>
      </c>
      <c r="K25" s="2">
        <v>28000</v>
      </c>
      <c r="L25" s="2">
        <v>88</v>
      </c>
      <c r="N25" s="2" t="s">
        <v>11</v>
      </c>
      <c r="O25" s="2" t="s">
        <v>12</v>
      </c>
      <c r="P25" s="2">
        <v>31</v>
      </c>
      <c r="Q25" s="2">
        <v>45000</v>
      </c>
      <c r="R25" s="2">
        <v>95</v>
      </c>
      <c r="S25" s="2">
        <v>6</v>
      </c>
    </row>
    <row r="26" spans="1:19" x14ac:dyDescent="0.3">
      <c r="A26" s="2">
        <v>1012</v>
      </c>
      <c r="B26" s="2" t="s">
        <v>20</v>
      </c>
      <c r="C26" s="2" t="s">
        <v>17</v>
      </c>
      <c r="D26" s="2">
        <v>30</v>
      </c>
      <c r="E26" s="2">
        <v>55000</v>
      </c>
      <c r="G26" s="2">
        <v>1003</v>
      </c>
      <c r="H26" s="2" t="s">
        <v>11</v>
      </c>
      <c r="I26" s="2" t="s">
        <v>12</v>
      </c>
      <c r="J26" s="2">
        <v>31</v>
      </c>
      <c r="K26" s="2">
        <v>45000</v>
      </c>
      <c r="L26" s="2">
        <v>95</v>
      </c>
      <c r="N26" s="2" t="s">
        <v>13</v>
      </c>
      <c r="O26" s="2" t="s">
        <v>8</v>
      </c>
      <c r="P26" s="2">
        <v>26</v>
      </c>
      <c r="Q26" s="2">
        <v>38000</v>
      </c>
      <c r="R26" s="2">
        <v>76</v>
      </c>
      <c r="S26" s="2"/>
    </row>
    <row r="27" spans="1:19" hidden="1" x14ac:dyDescent="0.3">
      <c r="A27" s="2">
        <v>1005</v>
      </c>
      <c r="B27" s="2" t="s">
        <v>14</v>
      </c>
      <c r="C27" s="2" t="s">
        <v>12</v>
      </c>
      <c r="D27" s="2">
        <v>35</v>
      </c>
      <c r="E27" s="2">
        <v>52000</v>
      </c>
      <c r="G27" s="2">
        <v>1004</v>
      </c>
      <c r="H27" s="2" t="s">
        <v>13</v>
      </c>
      <c r="I27" s="2" t="s">
        <v>8</v>
      </c>
      <c r="J27" s="2">
        <v>26</v>
      </c>
      <c r="K27" s="2">
        <v>38000</v>
      </c>
      <c r="L27" s="2">
        <v>76</v>
      </c>
      <c r="N27" s="2" t="s">
        <v>14</v>
      </c>
      <c r="O27" s="2" t="s">
        <v>12</v>
      </c>
      <c r="P27" s="2">
        <v>35</v>
      </c>
      <c r="Q27" s="2">
        <v>52000</v>
      </c>
      <c r="R27" s="2">
        <v>91</v>
      </c>
      <c r="S27" s="2">
        <v>4</v>
      </c>
    </row>
    <row r="28" spans="1:19" x14ac:dyDescent="0.3">
      <c r="A28" s="2">
        <v>1010</v>
      </c>
      <c r="B28" s="2" t="s">
        <v>19</v>
      </c>
      <c r="C28" s="2" t="s">
        <v>8</v>
      </c>
      <c r="D28" s="2">
        <v>33</v>
      </c>
      <c r="E28" s="2">
        <v>47000</v>
      </c>
      <c r="G28" s="2">
        <v>1005</v>
      </c>
      <c r="H28" s="2" t="s">
        <v>14</v>
      </c>
      <c r="I28" s="2" t="s">
        <v>12</v>
      </c>
      <c r="J28" s="2">
        <v>35</v>
      </c>
      <c r="K28" s="2">
        <v>52000</v>
      </c>
      <c r="L28" s="2">
        <v>91</v>
      </c>
      <c r="N28" s="2" t="s">
        <v>15</v>
      </c>
      <c r="O28" s="2" t="s">
        <v>10</v>
      </c>
      <c r="P28" s="2">
        <v>28</v>
      </c>
      <c r="Q28" s="2">
        <v>30000</v>
      </c>
      <c r="R28" s="2">
        <v>84</v>
      </c>
      <c r="S28" s="2"/>
    </row>
    <row r="29" spans="1:19" hidden="1" x14ac:dyDescent="0.3">
      <c r="A29" s="2">
        <v>1003</v>
      </c>
      <c r="B29" s="2" t="s">
        <v>11</v>
      </c>
      <c r="C29" s="2" t="s">
        <v>12</v>
      </c>
      <c r="D29" s="2">
        <v>31</v>
      </c>
      <c r="E29" s="2">
        <v>45000</v>
      </c>
      <c r="G29" s="2">
        <v>1006</v>
      </c>
      <c r="H29" s="2" t="s">
        <v>15</v>
      </c>
      <c r="I29" s="2" t="s">
        <v>10</v>
      </c>
      <c r="J29" s="2">
        <v>28</v>
      </c>
      <c r="K29" s="2">
        <v>30000</v>
      </c>
      <c r="L29" s="2">
        <v>84</v>
      </c>
      <c r="N29" s="2" t="s">
        <v>16</v>
      </c>
      <c r="O29" s="2" t="s">
        <v>17</v>
      </c>
      <c r="P29" s="2">
        <v>40</v>
      </c>
      <c r="Q29" s="2">
        <v>60000</v>
      </c>
      <c r="R29" s="2">
        <v>97</v>
      </c>
      <c r="S29" s="2">
        <v>4</v>
      </c>
    </row>
    <row r="30" spans="1:19" hidden="1" x14ac:dyDescent="0.3">
      <c r="A30" s="2">
        <v>1013</v>
      </c>
      <c r="B30" s="2" t="s">
        <v>21</v>
      </c>
      <c r="C30" s="2" t="s">
        <v>12</v>
      </c>
      <c r="D30" s="2">
        <v>29</v>
      </c>
      <c r="E30" s="2">
        <v>43000</v>
      </c>
      <c r="G30" s="2">
        <v>1007</v>
      </c>
      <c r="H30" s="2" t="s">
        <v>7</v>
      </c>
      <c r="I30" s="2" t="s">
        <v>8</v>
      </c>
      <c r="J30" s="2">
        <v>24</v>
      </c>
      <c r="K30" s="2">
        <v>32000</v>
      </c>
      <c r="L30" s="2">
        <v>92</v>
      </c>
      <c r="N30" s="2" t="s">
        <v>18</v>
      </c>
      <c r="O30" s="2" t="s">
        <v>12</v>
      </c>
      <c r="P30" s="2">
        <v>27</v>
      </c>
      <c r="Q30" s="2">
        <v>41000</v>
      </c>
      <c r="R30" s="2">
        <v>89</v>
      </c>
      <c r="S30" s="2">
        <v>6</v>
      </c>
    </row>
    <row r="31" spans="1:19" hidden="1" x14ac:dyDescent="0.3">
      <c r="A31" s="2">
        <v>1009</v>
      </c>
      <c r="B31" s="2" t="s">
        <v>18</v>
      </c>
      <c r="C31" s="2" t="s">
        <v>12</v>
      </c>
      <c r="D31" s="2">
        <v>27</v>
      </c>
      <c r="E31" s="2">
        <v>41000</v>
      </c>
      <c r="G31" s="2">
        <v>1008</v>
      </c>
      <c r="H31" s="2" t="s">
        <v>16</v>
      </c>
      <c r="I31" s="2" t="s">
        <v>17</v>
      </c>
      <c r="J31" s="2">
        <v>40</v>
      </c>
      <c r="K31" s="2">
        <v>60000</v>
      </c>
      <c r="L31" s="2">
        <v>97</v>
      </c>
      <c r="N31" s="2" t="s">
        <v>19</v>
      </c>
      <c r="O31" s="2" t="s">
        <v>8</v>
      </c>
      <c r="P31" s="2">
        <v>33</v>
      </c>
      <c r="Q31" s="2">
        <v>47000</v>
      </c>
      <c r="R31" s="2">
        <v>94</v>
      </c>
      <c r="S31" s="2">
        <v>2</v>
      </c>
    </row>
    <row r="32" spans="1:19" x14ac:dyDescent="0.3">
      <c r="A32" s="2">
        <v>1004</v>
      </c>
      <c r="B32" s="2" t="s">
        <v>13</v>
      </c>
      <c r="C32" s="2" t="s">
        <v>8</v>
      </c>
      <c r="D32" s="2">
        <v>26</v>
      </c>
      <c r="E32" s="2">
        <v>38000</v>
      </c>
      <c r="G32" s="2">
        <v>1009</v>
      </c>
      <c r="H32" s="2" t="s">
        <v>18</v>
      </c>
      <c r="I32" s="2" t="s">
        <v>12</v>
      </c>
      <c r="J32" s="2">
        <v>27</v>
      </c>
      <c r="K32" s="2">
        <v>41000</v>
      </c>
      <c r="L32" s="2">
        <v>89</v>
      </c>
      <c r="N32" s="2" t="s">
        <v>13</v>
      </c>
      <c r="O32" s="2" t="s">
        <v>10</v>
      </c>
      <c r="P32" s="2">
        <v>26</v>
      </c>
      <c r="Q32" s="2">
        <v>28000</v>
      </c>
      <c r="R32" s="2">
        <v>76</v>
      </c>
      <c r="S32" s="2"/>
    </row>
    <row r="33" spans="1:19" hidden="1" x14ac:dyDescent="0.3">
      <c r="A33" s="2">
        <v>1015</v>
      </c>
      <c r="B33" s="2" t="s">
        <v>22</v>
      </c>
      <c r="C33" s="2" t="s">
        <v>8</v>
      </c>
      <c r="D33" s="2">
        <v>25</v>
      </c>
      <c r="E33" s="2">
        <v>36000</v>
      </c>
      <c r="G33" s="2">
        <v>1010</v>
      </c>
      <c r="H33" s="2" t="s">
        <v>19</v>
      </c>
      <c r="I33" s="2" t="s">
        <v>8</v>
      </c>
      <c r="J33" s="2">
        <v>33</v>
      </c>
      <c r="K33" s="2">
        <v>47000</v>
      </c>
      <c r="L33" s="2">
        <v>94</v>
      </c>
      <c r="N33" s="2" t="s">
        <v>20</v>
      </c>
      <c r="O33" s="2" t="s">
        <v>17</v>
      </c>
      <c r="P33" s="2">
        <v>30</v>
      </c>
      <c r="Q33" s="2">
        <v>55000</v>
      </c>
      <c r="R33" s="2">
        <v>96</v>
      </c>
      <c r="S33" s="2">
        <v>4</v>
      </c>
    </row>
    <row r="34" spans="1:19" hidden="1" x14ac:dyDescent="0.3">
      <c r="A34" s="2">
        <v>1001</v>
      </c>
      <c r="B34" s="2" t="s">
        <v>7</v>
      </c>
      <c r="C34" s="2" t="s">
        <v>8</v>
      </c>
      <c r="D34" s="2">
        <v>24</v>
      </c>
      <c r="E34" s="2">
        <v>32000</v>
      </c>
      <c r="G34" s="2">
        <v>1011</v>
      </c>
      <c r="H34" s="2" t="s">
        <v>13</v>
      </c>
      <c r="I34" s="2" t="s">
        <v>10</v>
      </c>
      <c r="J34" s="2">
        <v>26</v>
      </c>
      <c r="K34" s="2">
        <v>28000</v>
      </c>
      <c r="L34" s="2">
        <v>76</v>
      </c>
      <c r="N34" s="2" t="s">
        <v>21</v>
      </c>
      <c r="O34" s="2" t="s">
        <v>12</v>
      </c>
      <c r="P34" s="2">
        <v>29</v>
      </c>
      <c r="Q34" s="2">
        <v>43000</v>
      </c>
      <c r="R34" s="2">
        <v>90</v>
      </c>
      <c r="S34" s="2">
        <v>6</v>
      </c>
    </row>
    <row r="35" spans="1:19" hidden="1" x14ac:dyDescent="0.3">
      <c r="A35" s="2">
        <v>1007</v>
      </c>
      <c r="B35" s="2" t="s">
        <v>7</v>
      </c>
      <c r="C35" s="2" t="s">
        <v>8</v>
      </c>
      <c r="D35" s="2">
        <v>24</v>
      </c>
      <c r="E35" s="2">
        <v>32000</v>
      </c>
      <c r="G35" s="2">
        <v>1012</v>
      </c>
      <c r="H35" s="2" t="s">
        <v>20</v>
      </c>
      <c r="I35" s="2" t="s">
        <v>17</v>
      </c>
      <c r="J35" s="2">
        <v>30</v>
      </c>
      <c r="K35" s="2">
        <v>55000</v>
      </c>
      <c r="L35" s="2">
        <v>96</v>
      </c>
      <c r="N35" s="2" t="s">
        <v>22</v>
      </c>
      <c r="O35" s="2" t="s">
        <v>8</v>
      </c>
      <c r="P35" s="2">
        <v>25</v>
      </c>
      <c r="Q35" s="2">
        <v>36000</v>
      </c>
      <c r="R35" s="2">
        <v>82</v>
      </c>
      <c r="S35" s="2">
        <v>2</v>
      </c>
    </row>
    <row r="36" spans="1:19" x14ac:dyDescent="0.3">
      <c r="A36" s="2">
        <v>1006</v>
      </c>
      <c r="B36" s="2" t="s">
        <v>15</v>
      </c>
      <c r="C36" s="2" t="s">
        <v>10</v>
      </c>
      <c r="D36" s="2">
        <v>28</v>
      </c>
      <c r="E36" s="2">
        <v>30000</v>
      </c>
      <c r="G36" s="2">
        <v>1013</v>
      </c>
      <c r="H36" s="2" t="s">
        <v>21</v>
      </c>
      <c r="I36" s="2" t="s">
        <v>12</v>
      </c>
      <c r="J36" s="2">
        <v>29</v>
      </c>
      <c r="K36" s="2">
        <v>43000</v>
      </c>
      <c r="L36" s="2">
        <v>90</v>
      </c>
      <c r="S36" s="2"/>
    </row>
    <row r="37" spans="1:19" hidden="1" x14ac:dyDescent="0.3">
      <c r="A37" s="2">
        <v>1002</v>
      </c>
      <c r="B37" s="2" t="s">
        <v>9</v>
      </c>
      <c r="C37" s="2" t="s">
        <v>10</v>
      </c>
      <c r="D37" s="2">
        <v>29</v>
      </c>
      <c r="E37" s="2">
        <v>28000</v>
      </c>
      <c r="G37" s="2">
        <v>1014</v>
      </c>
      <c r="H37" s="2" t="s">
        <v>16</v>
      </c>
      <c r="I37" s="2" t="s">
        <v>17</v>
      </c>
      <c r="J37" s="2">
        <v>40</v>
      </c>
      <c r="K37" s="2">
        <v>60000</v>
      </c>
      <c r="L37" s="2">
        <v>97</v>
      </c>
      <c r="S37" s="2">
        <v>4</v>
      </c>
    </row>
    <row r="38" spans="1:19" hidden="1" x14ac:dyDescent="0.3">
      <c r="A38" s="2">
        <v>1011</v>
      </c>
      <c r="B38" s="2" t="s">
        <v>13</v>
      </c>
      <c r="C38" s="2" t="s">
        <v>10</v>
      </c>
      <c r="D38" s="2">
        <v>26</v>
      </c>
      <c r="E38" s="2">
        <v>28000</v>
      </c>
      <c r="G38" s="2">
        <v>1015</v>
      </c>
      <c r="H38" s="2" t="s">
        <v>22</v>
      </c>
      <c r="I38" s="2" t="s">
        <v>8</v>
      </c>
      <c r="J38" s="2">
        <v>25</v>
      </c>
      <c r="K38" s="2">
        <v>36000</v>
      </c>
      <c r="L38" s="2">
        <v>82</v>
      </c>
      <c r="S38" s="2">
        <v>6</v>
      </c>
    </row>
    <row r="39" spans="1:19" x14ac:dyDescent="0.3">
      <c r="S39" s="2"/>
    </row>
    <row r="40" spans="1:19" x14ac:dyDescent="0.3">
      <c r="S40" s="2"/>
    </row>
    <row r="41" spans="1:19" x14ac:dyDescent="0.3">
      <c r="S41" s="2"/>
    </row>
    <row r="42" spans="1:19" x14ac:dyDescent="0.3">
      <c r="S42" s="2"/>
    </row>
    <row r="43" spans="1:19" x14ac:dyDescent="0.3">
      <c r="S43" s="2"/>
    </row>
    <row r="44" spans="1:19" x14ac:dyDescent="0.3">
      <c r="S44" s="2"/>
    </row>
    <row r="45" spans="1:19" x14ac:dyDescent="0.3">
      <c r="S45" s="2"/>
    </row>
    <row r="46" spans="1:19" x14ac:dyDescent="0.3">
      <c r="S46" s="2"/>
    </row>
    <row r="47" spans="1:19" x14ac:dyDescent="0.3">
      <c r="S47" s="2"/>
    </row>
    <row r="48" spans="1:19" x14ac:dyDescent="0.3">
      <c r="S48" s="2"/>
    </row>
    <row r="49" spans="19:19" x14ac:dyDescent="0.3">
      <c r="S49" s="2"/>
    </row>
    <row r="50" spans="19:19" x14ac:dyDescent="0.3">
      <c r="S50" s="2"/>
    </row>
  </sheetData>
  <autoFilter ref="G23:L38" xr:uid="{19D5598F-F9BA-498A-A41F-A75C0967C81E}">
    <filterColumn colId="2">
      <filters>
        <filter val="IT"/>
      </filters>
    </filterColumn>
  </autoFilter>
  <sortState xmlns:xlrd2="http://schemas.microsoft.com/office/spreadsheetml/2017/richdata2" ref="O2:O16">
    <sortCondition descending="1" ref="O2:O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9DF9-7EEE-4C80-B200-3D7D20BA4751}">
  <sheetPr filterMode="1"/>
  <dimension ref="A1:S24"/>
  <sheetViews>
    <sheetView tabSelected="1" workbookViewId="0">
      <selection activeCell="B19" sqref="B19"/>
    </sheetView>
  </sheetViews>
  <sheetFormatPr defaultRowHeight="14.4" x14ac:dyDescent="0.3"/>
  <cols>
    <col min="1" max="1" width="18.5546875" bestFit="1" customWidth="1"/>
    <col min="2" max="2" width="13.21875" bestFit="1" customWidth="1"/>
    <col min="6" max="6" width="11.5546875" bestFit="1" customWidth="1"/>
    <col min="7" max="7" width="9.33203125" bestFit="1" customWidth="1"/>
    <col min="8" max="8" width="11.109375" bestFit="1" customWidth="1"/>
    <col min="10" max="10" width="12.88671875" bestFit="1" customWidth="1"/>
    <col min="11" max="11" width="12.6640625" bestFit="1" customWidth="1"/>
    <col min="12" max="12" width="16.44140625" bestFit="1" customWidth="1"/>
  </cols>
  <sheetData>
    <row r="1" spans="1:19" x14ac:dyDescent="0.3">
      <c r="A1" s="4" t="s">
        <v>28</v>
      </c>
      <c r="B1" t="str">
        <f>MID(A1, FIND("@",A1)+1, LEN(A1))</f>
        <v>pharmacy.com</v>
      </c>
    </row>
    <row r="2" spans="1:19" x14ac:dyDescent="0.3">
      <c r="A2" t="s">
        <v>29</v>
      </c>
      <c r="B2" t="str">
        <f>RIGHT(A2,4)</f>
        <v>4521</v>
      </c>
      <c r="C2" t="str">
        <f>MID(A2,FIND("-",A2)+1,LEN(A2))</f>
        <v>2024-4521</v>
      </c>
    </row>
    <row r="3" spans="1:19" x14ac:dyDescent="0.3">
      <c r="A3" t="s">
        <v>30</v>
      </c>
      <c r="B3" t="str">
        <f>MID(A3,FIND(".",A3)+2,LEN(A3))</f>
        <v>Sameer Khan</v>
      </c>
    </row>
    <row r="4" spans="1:19" x14ac:dyDescent="0.3">
      <c r="A4" t="s">
        <v>31</v>
      </c>
      <c r="B4" t="str">
        <f>MID(A4,FIND("#",A4)+1,LEN(A4))</f>
        <v>77291</v>
      </c>
    </row>
    <row r="5" spans="1:19" ht="15" hidden="1" thickBot="1" x14ac:dyDescent="0.35">
      <c r="A5" t="s">
        <v>28</v>
      </c>
      <c r="B5" t="str">
        <f>LEFT(A5,FIND("@",A5)-1)</f>
        <v>user</v>
      </c>
      <c r="F5" s="1" t="s">
        <v>0</v>
      </c>
      <c r="G5" s="1" t="s">
        <v>1</v>
      </c>
      <c r="H5" s="1" t="s">
        <v>2</v>
      </c>
      <c r="I5" s="1" t="s">
        <v>3</v>
      </c>
      <c r="J5" s="1" t="s">
        <v>4</v>
      </c>
      <c r="K5" s="1" t="s">
        <v>5</v>
      </c>
      <c r="L5" s="1" t="s">
        <v>6</v>
      </c>
    </row>
    <row r="6" spans="1:19" hidden="1" x14ac:dyDescent="0.3">
      <c r="F6" s="2">
        <v>1015</v>
      </c>
      <c r="G6" s="2" t="s">
        <v>22</v>
      </c>
      <c r="H6" s="2" t="s">
        <v>8</v>
      </c>
      <c r="I6" s="2">
        <v>25</v>
      </c>
      <c r="J6" s="2">
        <v>36000</v>
      </c>
      <c r="K6" s="2">
        <v>82</v>
      </c>
      <c r="L6" s="2">
        <v>2</v>
      </c>
    </row>
    <row r="7" spans="1:19" x14ac:dyDescent="0.3">
      <c r="A7" t="s">
        <v>28</v>
      </c>
      <c r="B7" t="str">
        <f>LEFT(A7,4)</f>
        <v>user</v>
      </c>
      <c r="C7" t="str">
        <f>RIGHT(A7,4)</f>
        <v>.com</v>
      </c>
      <c r="D7" t="str">
        <f>MID(A7,6,5)</f>
        <v>pharm</v>
      </c>
      <c r="F7" s="2">
        <v>1014</v>
      </c>
      <c r="G7" s="2" t="s">
        <v>16</v>
      </c>
      <c r="H7" s="2" t="s">
        <v>17</v>
      </c>
      <c r="I7" s="2">
        <v>40</v>
      </c>
      <c r="J7" s="2">
        <v>60000</v>
      </c>
      <c r="K7" s="2">
        <v>97</v>
      </c>
      <c r="L7" s="2">
        <v>15</v>
      </c>
      <c r="N7" t="str" cm="1">
        <f t="array" ref="N7:S19">_xlfn.UNIQUE(G6:L20)</f>
        <v>Sonal</v>
      </c>
      <c r="O7" t="str">
        <v>Sales</v>
      </c>
      <c r="P7">
        <v>25</v>
      </c>
      <c r="Q7">
        <v>36000</v>
      </c>
      <c r="R7">
        <v>82</v>
      </c>
      <c r="S7">
        <v>2</v>
      </c>
    </row>
    <row r="8" spans="1:19" x14ac:dyDescent="0.3">
      <c r="B8">
        <f>LEN(A7)</f>
        <v>17</v>
      </c>
      <c r="F8" s="2">
        <v>1013</v>
      </c>
      <c r="G8" s="2" t="s">
        <v>21</v>
      </c>
      <c r="H8" s="2" t="s">
        <v>12</v>
      </c>
      <c r="I8" s="2">
        <v>29</v>
      </c>
      <c r="J8" s="2">
        <v>43000</v>
      </c>
      <c r="K8" s="2">
        <v>90</v>
      </c>
      <c r="L8" s="2">
        <v>5</v>
      </c>
      <c r="N8" t="str">
        <v>Karan</v>
      </c>
      <c r="O8" t="str">
        <v>Finance</v>
      </c>
      <c r="P8">
        <v>40</v>
      </c>
      <c r="Q8">
        <v>60000</v>
      </c>
      <c r="R8">
        <v>97</v>
      </c>
      <c r="S8">
        <v>15</v>
      </c>
    </row>
    <row r="9" spans="1:19" x14ac:dyDescent="0.3">
      <c r="B9" t="str">
        <f>MID(A1,FIND("@",A1)+1,LEN(A1))</f>
        <v>pharmacy.com</v>
      </c>
      <c r="F9" s="2">
        <v>1012</v>
      </c>
      <c r="G9" s="2" t="s">
        <v>20</v>
      </c>
      <c r="H9" s="2" t="s">
        <v>17</v>
      </c>
      <c r="I9" s="2">
        <v>30</v>
      </c>
      <c r="J9" s="2">
        <v>55000</v>
      </c>
      <c r="K9" s="2">
        <v>96</v>
      </c>
      <c r="L9" s="2">
        <v>7</v>
      </c>
      <c r="N9" t="str">
        <v>Meena</v>
      </c>
      <c r="O9" t="str">
        <v>IT</v>
      </c>
      <c r="P9">
        <v>29</v>
      </c>
      <c r="Q9">
        <v>43000</v>
      </c>
      <c r="R9">
        <v>90</v>
      </c>
      <c r="S9">
        <v>5</v>
      </c>
    </row>
    <row r="10" spans="1:19" hidden="1" x14ac:dyDescent="0.3">
      <c r="F10" s="2">
        <v>1011</v>
      </c>
      <c r="G10" s="2" t="s">
        <v>13</v>
      </c>
      <c r="H10" s="2" t="s">
        <v>10</v>
      </c>
      <c r="I10" s="2">
        <v>26</v>
      </c>
      <c r="J10" s="2">
        <v>28000</v>
      </c>
      <c r="K10" s="2">
        <v>76</v>
      </c>
      <c r="L10" s="2">
        <v>2</v>
      </c>
      <c r="N10" t="str">
        <v>Arjun</v>
      </c>
      <c r="O10" t="str">
        <v>Finance</v>
      </c>
      <c r="P10">
        <v>30</v>
      </c>
      <c r="Q10">
        <v>55000</v>
      </c>
      <c r="R10">
        <v>96</v>
      </c>
      <c r="S10">
        <v>7</v>
      </c>
    </row>
    <row r="11" spans="1:19" x14ac:dyDescent="0.3">
      <c r="F11" s="2">
        <v>1010</v>
      </c>
      <c r="G11" s="2" t="s">
        <v>19</v>
      </c>
      <c r="H11" s="2" t="s">
        <v>8</v>
      </c>
      <c r="I11" s="2">
        <v>33</v>
      </c>
      <c r="J11" s="2">
        <v>47000</v>
      </c>
      <c r="K11" s="2">
        <v>94</v>
      </c>
      <c r="L11" s="2">
        <v>8</v>
      </c>
      <c r="N11" t="str">
        <v>Neha</v>
      </c>
      <c r="O11" t="str">
        <v>HR</v>
      </c>
      <c r="P11">
        <v>26</v>
      </c>
      <c r="Q11">
        <v>28000</v>
      </c>
      <c r="R11">
        <v>76</v>
      </c>
      <c r="S11">
        <v>2</v>
      </c>
    </row>
    <row r="12" spans="1:19" hidden="1" x14ac:dyDescent="0.3">
      <c r="F12" s="2">
        <v>1009</v>
      </c>
      <c r="G12" s="2" t="s">
        <v>18</v>
      </c>
      <c r="H12" s="2" t="s">
        <v>12</v>
      </c>
      <c r="I12" s="2">
        <v>27</v>
      </c>
      <c r="J12" s="2">
        <v>41000</v>
      </c>
      <c r="K12" s="2">
        <v>89</v>
      </c>
      <c r="L12" s="2">
        <v>4</v>
      </c>
      <c r="N12" t="str">
        <v>Rohit</v>
      </c>
      <c r="O12" t="str">
        <v>Sales</v>
      </c>
      <c r="P12">
        <v>33</v>
      </c>
      <c r="Q12">
        <v>47000</v>
      </c>
      <c r="R12">
        <v>94</v>
      </c>
      <c r="S12">
        <v>8</v>
      </c>
    </row>
    <row r="13" spans="1:19" x14ac:dyDescent="0.3">
      <c r="F13" s="2">
        <v>1008</v>
      </c>
      <c r="G13" s="2" t="s">
        <v>16</v>
      </c>
      <c r="H13" s="2" t="s">
        <v>17</v>
      </c>
      <c r="I13" s="2">
        <v>40</v>
      </c>
      <c r="J13" s="2">
        <v>60000</v>
      </c>
      <c r="K13" s="2">
        <v>97</v>
      </c>
      <c r="L13" s="2">
        <v>15</v>
      </c>
      <c r="N13" t="str">
        <v>Pooja</v>
      </c>
      <c r="O13" t="str">
        <v>IT</v>
      </c>
      <c r="P13">
        <v>27</v>
      </c>
      <c r="Q13">
        <v>41000</v>
      </c>
      <c r="R13">
        <v>89</v>
      </c>
      <c r="S13">
        <v>4</v>
      </c>
    </row>
    <row r="14" spans="1:19" hidden="1" x14ac:dyDescent="0.3">
      <c r="F14" s="2">
        <v>1007</v>
      </c>
      <c r="G14" s="2" t="s">
        <v>7</v>
      </c>
      <c r="H14" s="2" t="s">
        <v>8</v>
      </c>
      <c r="I14" s="2">
        <v>24</v>
      </c>
      <c r="J14" s="2">
        <v>32000</v>
      </c>
      <c r="K14" s="2">
        <v>92</v>
      </c>
      <c r="L14" s="2">
        <v>1</v>
      </c>
      <c r="N14" t="str">
        <v>Amit</v>
      </c>
      <c r="O14" t="str">
        <v>Sales</v>
      </c>
      <c r="P14">
        <v>24</v>
      </c>
      <c r="Q14">
        <v>32000</v>
      </c>
      <c r="R14">
        <v>92</v>
      </c>
      <c r="S14">
        <v>1</v>
      </c>
    </row>
    <row r="15" spans="1:19" hidden="1" x14ac:dyDescent="0.3">
      <c r="F15" s="2">
        <v>1006</v>
      </c>
      <c r="G15" s="2" t="s">
        <v>15</v>
      </c>
      <c r="H15" s="2" t="s">
        <v>10</v>
      </c>
      <c r="I15" s="2">
        <v>28</v>
      </c>
      <c r="J15" s="2">
        <v>30000</v>
      </c>
      <c r="K15" s="2">
        <v>84</v>
      </c>
      <c r="L15" s="2">
        <v>3</v>
      </c>
      <c r="N15" t="str">
        <v>Sneha</v>
      </c>
      <c r="O15" t="str">
        <v>HR</v>
      </c>
      <c r="P15">
        <v>28</v>
      </c>
      <c r="Q15">
        <v>30000</v>
      </c>
      <c r="R15">
        <v>84</v>
      </c>
      <c r="S15">
        <v>3</v>
      </c>
    </row>
    <row r="16" spans="1:19" x14ac:dyDescent="0.3">
      <c r="F16" s="2">
        <v>1005</v>
      </c>
      <c r="G16" s="2" t="s">
        <v>14</v>
      </c>
      <c r="H16" s="2" t="s">
        <v>12</v>
      </c>
      <c r="I16" s="2">
        <v>35</v>
      </c>
      <c r="J16" s="2">
        <v>52000</v>
      </c>
      <c r="K16" s="2">
        <v>91</v>
      </c>
      <c r="L16" s="2">
        <v>10</v>
      </c>
      <c r="N16" t="str">
        <v>Vikram</v>
      </c>
      <c r="O16" t="str">
        <v>IT</v>
      </c>
      <c r="P16">
        <v>35</v>
      </c>
      <c r="Q16">
        <v>52000</v>
      </c>
      <c r="R16">
        <v>91</v>
      </c>
      <c r="S16">
        <v>10</v>
      </c>
    </row>
    <row r="17" spans="6:19" hidden="1" x14ac:dyDescent="0.3">
      <c r="F17" s="2">
        <v>1004</v>
      </c>
      <c r="G17" s="2" t="s">
        <v>13</v>
      </c>
      <c r="H17" s="2" t="s">
        <v>8</v>
      </c>
      <c r="I17" s="2">
        <v>26</v>
      </c>
      <c r="J17" s="2">
        <v>38000</v>
      </c>
      <c r="K17" s="2">
        <v>76</v>
      </c>
      <c r="L17" s="2">
        <v>2</v>
      </c>
      <c r="N17" t="str">
        <v>Neha</v>
      </c>
      <c r="O17" t="str">
        <v>Sales</v>
      </c>
      <c r="P17">
        <v>26</v>
      </c>
      <c r="Q17">
        <v>38000</v>
      </c>
      <c r="R17">
        <v>76</v>
      </c>
      <c r="S17">
        <v>2</v>
      </c>
    </row>
    <row r="18" spans="6:19" x14ac:dyDescent="0.3">
      <c r="F18" s="2">
        <v>1003</v>
      </c>
      <c r="G18" s="2" t="s">
        <v>11</v>
      </c>
      <c r="H18" s="2" t="s">
        <v>12</v>
      </c>
      <c r="I18" s="2">
        <v>31</v>
      </c>
      <c r="J18" s="2">
        <v>45000</v>
      </c>
      <c r="K18" s="2">
        <v>95</v>
      </c>
      <c r="L18" s="2">
        <v>6</v>
      </c>
      <c r="N18" t="str">
        <v>Rahul</v>
      </c>
      <c r="O18" t="str">
        <v>IT</v>
      </c>
      <c r="P18">
        <v>31</v>
      </c>
      <c r="Q18">
        <v>45000</v>
      </c>
      <c r="R18">
        <v>95</v>
      </c>
      <c r="S18">
        <v>6</v>
      </c>
    </row>
    <row r="19" spans="6:19" hidden="1" x14ac:dyDescent="0.3">
      <c r="F19" s="2">
        <v>1002</v>
      </c>
      <c r="G19" s="2" t="s">
        <v>9</v>
      </c>
      <c r="H19" s="2" t="s">
        <v>10</v>
      </c>
      <c r="I19" s="2">
        <v>29</v>
      </c>
      <c r="J19" s="2">
        <v>28000</v>
      </c>
      <c r="K19" s="2">
        <v>88</v>
      </c>
      <c r="L19" s="2">
        <v>4</v>
      </c>
      <c r="N19" t="str">
        <v>Priya</v>
      </c>
      <c r="O19" t="str">
        <v>HR</v>
      </c>
      <c r="P19">
        <v>29</v>
      </c>
      <c r="Q19">
        <v>28000</v>
      </c>
      <c r="R19">
        <v>88</v>
      </c>
      <c r="S19">
        <v>4</v>
      </c>
    </row>
    <row r="20" spans="6:19" hidden="1" x14ac:dyDescent="0.3">
      <c r="F20" s="2">
        <v>1001</v>
      </c>
      <c r="G20" s="2" t="s">
        <v>7</v>
      </c>
      <c r="H20" s="2" t="s">
        <v>8</v>
      </c>
      <c r="I20" s="2">
        <v>24</v>
      </c>
      <c r="J20" s="2">
        <v>32000</v>
      </c>
      <c r="K20" s="2">
        <v>92</v>
      </c>
      <c r="L20" s="2">
        <v>1</v>
      </c>
    </row>
    <row r="23" spans="6:19" x14ac:dyDescent="0.3">
      <c r="F23" s="2">
        <v>43000</v>
      </c>
      <c r="H23" cm="1">
        <f t="array" ref="H23:N23">_xlfn.XLOOKUP(F23,J6:J20,F6:L20)</f>
        <v>1013</v>
      </c>
      <c r="I23" t="str">
        <v>Meena</v>
      </c>
      <c r="J23" t="str">
        <v>IT</v>
      </c>
      <c r="K23">
        <v>29</v>
      </c>
      <c r="L23">
        <v>43000</v>
      </c>
      <c r="M23">
        <v>90</v>
      </c>
      <c r="N23">
        <v>5</v>
      </c>
    </row>
    <row r="24" spans="6:19" x14ac:dyDescent="0.3">
      <c r="H24" cm="1">
        <f t="array" ref="H24:N24">_xlfn.XLOOKUP(F23,J6:J20,F6:L20)</f>
        <v>1013</v>
      </c>
      <c r="I24" t="str">
        <v>Meena</v>
      </c>
      <c r="J24" t="str">
        <v>IT</v>
      </c>
      <c r="K24">
        <v>29</v>
      </c>
      <c r="L24">
        <v>43000</v>
      </c>
      <c r="M24">
        <v>90</v>
      </c>
      <c r="N24">
        <v>5</v>
      </c>
    </row>
  </sheetData>
  <autoFilter ref="F4:L20" xr:uid="{24D19DF9-7EEE-4C80-B200-3D7D20BA4751}">
    <filterColumn colId="4">
      <customFilters>
        <customFilter operator="greaterThanOrEqual" val="43000"/>
      </customFilters>
    </filterColumn>
  </autoFilter>
  <sortState xmlns:xlrd2="http://schemas.microsoft.com/office/spreadsheetml/2017/richdata2" ref="F6:L20">
    <sortCondition descending="1" ref="F6:F20"/>
  </sortState>
  <hyperlinks>
    <hyperlink ref="A1" r:id="rId1" xr:uid="{A6164E5E-786E-4F28-A2AB-9FE5F19744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ajsonu331@gmail.com</dc:creator>
  <cp:lastModifiedBy>ajsonu331@gmail.com</cp:lastModifiedBy>
  <dcterms:created xsi:type="dcterms:W3CDTF">2026-09-07T16:03:36Z</dcterms:created>
  <dcterms:modified xsi:type="dcterms:W3CDTF">2026-09-11T13:37:12Z</dcterms:modified>
</cp:coreProperties>
</file>